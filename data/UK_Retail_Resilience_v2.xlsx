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ata Base\Fiverr project\PowerBI\Vivek\Retail Data\"/>
    </mc:Choice>
  </mc:AlternateContent>
  <xr:revisionPtr revIDLastSave="0" documentId="13_ncr:1_{7B72EA9E-2B4B-46D6-A872-610F20DB23AB}" xr6:coauthVersionLast="47" xr6:coauthVersionMax="47" xr10:uidLastSave="{00000000-0000-0000-0000-000000000000}"/>
  <bookViews>
    <workbookView xWindow="-120" yWindow="-120" windowWidth="29040" windowHeight="15720" tabRatio="500" activeTab="7" xr2:uid="{00000000-000D-0000-FFFF-FFFF00000000}"/>
  </bookViews>
  <sheets>
    <sheet name="README" sheetId="1" r:id="rId1"/>
    <sheet name="Raw_RSI" sheetId="2" r:id="rId2"/>
    <sheet name="Raw_CPI" sheetId="3" r:id="rId3"/>
    <sheet name="Raw_BoE" sheetId="4" r:id="rId4"/>
    <sheet name="Raw_AWE" sheetId="5" r:id="rId5"/>
    <sheet name="Raw_GDP" sheetId="6" r:id="rId6"/>
    <sheet name="Master" sheetId="7" r:id="rId7"/>
    <sheet name="Pivots" sheetId="8" r:id="rId8"/>
    <sheet name="Scenario_Model" sheetId="9" r:id="rId9"/>
    <sheet name="Dashboard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9" i="10" l="1"/>
  <c r="G58" i="10"/>
  <c r="G57" i="10"/>
  <c r="J30" i="9"/>
  <c r="I30" i="9"/>
  <c r="H30" i="9"/>
  <c r="G30" i="9"/>
  <c r="F30" i="9"/>
  <c r="E30" i="9"/>
  <c r="D30" i="9"/>
  <c r="C30" i="9"/>
  <c r="B30" i="9"/>
  <c r="J29" i="9"/>
  <c r="I29" i="9"/>
  <c r="H29" i="9"/>
  <c r="G29" i="9"/>
  <c r="F29" i="9"/>
  <c r="E29" i="9"/>
  <c r="D29" i="9"/>
  <c r="C29" i="9"/>
  <c r="B29" i="9"/>
  <c r="J28" i="9"/>
  <c r="I28" i="9"/>
  <c r="H28" i="9"/>
  <c r="G28" i="9"/>
  <c r="F28" i="9"/>
  <c r="E28" i="9"/>
  <c r="D28" i="9"/>
  <c r="C28" i="9"/>
  <c r="B28" i="9"/>
  <c r="J27" i="9"/>
  <c r="I27" i="9"/>
  <c r="H27" i="9"/>
  <c r="G27" i="9"/>
  <c r="F27" i="9"/>
  <c r="E27" i="9"/>
  <c r="D27" i="9"/>
  <c r="C27" i="9"/>
  <c r="B27" i="9"/>
  <c r="J26" i="9"/>
  <c r="I26" i="9"/>
  <c r="H26" i="9"/>
  <c r="G26" i="9"/>
  <c r="F26" i="9"/>
  <c r="E26" i="9"/>
  <c r="D26" i="9"/>
  <c r="C26" i="9"/>
  <c r="B26" i="9"/>
  <c r="J25" i="9"/>
  <c r="I25" i="9"/>
  <c r="H25" i="9"/>
  <c r="G25" i="9"/>
  <c r="F25" i="9"/>
  <c r="E25" i="9"/>
  <c r="D25" i="9"/>
  <c r="C25" i="9"/>
  <c r="B25" i="9"/>
  <c r="J24" i="9"/>
  <c r="I24" i="9"/>
  <c r="H24" i="9"/>
  <c r="G24" i="9"/>
  <c r="F24" i="9"/>
  <c r="E24" i="9"/>
  <c r="D24" i="9"/>
  <c r="C24" i="9"/>
  <c r="B24" i="9"/>
  <c r="J23" i="9"/>
  <c r="I23" i="9"/>
  <c r="H23" i="9"/>
  <c r="G23" i="9"/>
  <c r="F23" i="9"/>
  <c r="E23" i="9"/>
  <c r="D23" i="9"/>
  <c r="C23" i="9"/>
  <c r="B23" i="9"/>
  <c r="J22" i="9"/>
  <c r="I22" i="9"/>
  <c r="H22" i="9"/>
  <c r="G22" i="9"/>
  <c r="F22" i="9"/>
  <c r="E22" i="9"/>
  <c r="D22" i="9"/>
  <c r="C22" i="9"/>
  <c r="B22" i="9"/>
  <c r="B13" i="9"/>
  <c r="B46" i="9" s="1"/>
  <c r="B12" i="9"/>
  <c r="B11" i="9"/>
  <c r="T102" i="7"/>
  <c r="S102" i="7"/>
  <c r="Q102" i="7"/>
  <c r="P102" i="7"/>
  <c r="T101" i="7"/>
  <c r="S101" i="7"/>
  <c r="Q101" i="7"/>
  <c r="P101" i="7"/>
  <c r="T100" i="7"/>
  <c r="S100" i="7"/>
  <c r="Q100" i="7"/>
  <c r="P100" i="7"/>
  <c r="T99" i="7"/>
  <c r="S99" i="7"/>
  <c r="Q99" i="7"/>
  <c r="P99" i="7"/>
  <c r="T98" i="7"/>
  <c r="S98" i="7"/>
  <c r="Q98" i="7"/>
  <c r="P98" i="7"/>
  <c r="T97" i="7"/>
  <c r="S97" i="7"/>
  <c r="Q97" i="7"/>
  <c r="P97" i="7"/>
  <c r="T96" i="7"/>
  <c r="S96" i="7"/>
  <c r="Q96" i="7"/>
  <c r="P96" i="7"/>
  <c r="T95" i="7"/>
  <c r="S95" i="7"/>
  <c r="Q95" i="7"/>
  <c r="P95" i="7"/>
  <c r="T94" i="7"/>
  <c r="S94" i="7"/>
  <c r="Q94" i="7"/>
  <c r="P94" i="7"/>
  <c r="T93" i="7"/>
  <c r="S93" i="7"/>
  <c r="Q93" i="7"/>
  <c r="P93" i="7"/>
  <c r="T92" i="7"/>
  <c r="S92" i="7"/>
  <c r="Q92" i="7"/>
  <c r="P92" i="7"/>
  <c r="T91" i="7"/>
  <c r="S91" i="7"/>
  <c r="Q91" i="7"/>
  <c r="P91" i="7"/>
  <c r="T90" i="7"/>
  <c r="S90" i="7"/>
  <c r="Q90" i="7"/>
  <c r="P90" i="7"/>
  <c r="T89" i="7"/>
  <c r="S89" i="7"/>
  <c r="Q89" i="7"/>
  <c r="P89" i="7"/>
  <c r="T88" i="7"/>
  <c r="S88" i="7"/>
  <c r="Q88" i="7"/>
  <c r="P88" i="7"/>
  <c r="T87" i="7"/>
  <c r="S87" i="7"/>
  <c r="Q87" i="7"/>
  <c r="P87" i="7"/>
  <c r="T86" i="7"/>
  <c r="S86" i="7"/>
  <c r="Q86" i="7"/>
  <c r="P86" i="7"/>
  <c r="T85" i="7"/>
  <c r="S85" i="7"/>
  <c r="Q85" i="7"/>
  <c r="P85" i="7"/>
  <c r="T84" i="7"/>
  <c r="S84" i="7"/>
  <c r="Q84" i="7"/>
  <c r="P84" i="7"/>
  <c r="T83" i="7"/>
  <c r="S83" i="7"/>
  <c r="Q83" i="7"/>
  <c r="P83" i="7"/>
  <c r="T82" i="7"/>
  <c r="S82" i="7"/>
  <c r="Q82" i="7"/>
  <c r="P82" i="7"/>
  <c r="T81" i="7"/>
  <c r="S81" i="7"/>
  <c r="Q81" i="7"/>
  <c r="P81" i="7"/>
  <c r="T80" i="7"/>
  <c r="S80" i="7"/>
  <c r="Q80" i="7"/>
  <c r="P80" i="7"/>
  <c r="T79" i="7"/>
  <c r="S79" i="7"/>
  <c r="Q79" i="7"/>
  <c r="P79" i="7"/>
  <c r="T78" i="7"/>
  <c r="S78" i="7"/>
  <c r="Q78" i="7"/>
  <c r="P78" i="7"/>
  <c r="T77" i="7"/>
  <c r="S77" i="7"/>
  <c r="Q77" i="7"/>
  <c r="P77" i="7"/>
  <c r="T76" i="7"/>
  <c r="S76" i="7"/>
  <c r="Q76" i="7"/>
  <c r="P76" i="7"/>
  <c r="T75" i="7"/>
  <c r="S75" i="7"/>
  <c r="Q75" i="7"/>
  <c r="P75" i="7"/>
  <c r="T74" i="7"/>
  <c r="S74" i="7"/>
  <c r="Q74" i="7"/>
  <c r="P74" i="7"/>
  <c r="T73" i="7"/>
  <c r="S73" i="7"/>
  <c r="Q73" i="7"/>
  <c r="P73" i="7"/>
  <c r="T72" i="7"/>
  <c r="S72" i="7"/>
  <c r="Q72" i="7"/>
  <c r="P72" i="7"/>
  <c r="T71" i="7"/>
  <c r="S71" i="7"/>
  <c r="Q71" i="7"/>
  <c r="P71" i="7"/>
  <c r="T70" i="7"/>
  <c r="S70" i="7"/>
  <c r="Q70" i="7"/>
  <c r="P70" i="7"/>
  <c r="T69" i="7"/>
  <c r="S69" i="7"/>
  <c r="Q69" i="7"/>
  <c r="P69" i="7"/>
  <c r="T68" i="7"/>
  <c r="S68" i="7"/>
  <c r="Q68" i="7"/>
  <c r="P68" i="7"/>
  <c r="T67" i="7"/>
  <c r="S67" i="7"/>
  <c r="Q67" i="7"/>
  <c r="P67" i="7"/>
  <c r="T66" i="7"/>
  <c r="S66" i="7"/>
  <c r="Q66" i="7"/>
  <c r="P66" i="7"/>
  <c r="T65" i="7"/>
  <c r="S65" i="7"/>
  <c r="Q65" i="7"/>
  <c r="P65" i="7"/>
  <c r="T64" i="7"/>
  <c r="S64" i="7"/>
  <c r="Q64" i="7"/>
  <c r="P64" i="7"/>
  <c r="T63" i="7"/>
  <c r="S63" i="7"/>
  <c r="Q63" i="7"/>
  <c r="P63" i="7"/>
  <c r="T62" i="7"/>
  <c r="S62" i="7"/>
  <c r="Q62" i="7"/>
  <c r="P62" i="7"/>
  <c r="T61" i="7"/>
  <c r="S61" i="7"/>
  <c r="Q61" i="7"/>
  <c r="P61" i="7"/>
  <c r="T60" i="7"/>
  <c r="S60" i="7"/>
  <c r="Q60" i="7"/>
  <c r="P60" i="7"/>
  <c r="T59" i="7"/>
  <c r="S59" i="7"/>
  <c r="Q59" i="7"/>
  <c r="P59" i="7"/>
  <c r="T58" i="7"/>
  <c r="S58" i="7"/>
  <c r="Q58" i="7"/>
  <c r="P58" i="7"/>
  <c r="T57" i="7"/>
  <c r="S57" i="7"/>
  <c r="Q57" i="7"/>
  <c r="P57" i="7"/>
  <c r="T56" i="7"/>
  <c r="S56" i="7"/>
  <c r="Q56" i="7"/>
  <c r="P56" i="7"/>
  <c r="T55" i="7"/>
  <c r="S55" i="7"/>
  <c r="Q55" i="7"/>
  <c r="P55" i="7"/>
  <c r="T54" i="7"/>
  <c r="S54" i="7"/>
  <c r="Q54" i="7"/>
  <c r="P54" i="7"/>
  <c r="T53" i="7"/>
  <c r="S53" i="7"/>
  <c r="Q53" i="7"/>
  <c r="P53" i="7"/>
  <c r="T52" i="7"/>
  <c r="S52" i="7"/>
  <c r="Q52" i="7"/>
  <c r="P52" i="7"/>
  <c r="T51" i="7"/>
  <c r="S51" i="7"/>
  <c r="Q51" i="7"/>
  <c r="P51" i="7"/>
  <c r="T50" i="7"/>
  <c r="S50" i="7"/>
  <c r="Q50" i="7"/>
  <c r="P50" i="7"/>
  <c r="T49" i="7"/>
  <c r="S49" i="7"/>
  <c r="Q49" i="7"/>
  <c r="P49" i="7"/>
  <c r="T48" i="7"/>
  <c r="S48" i="7"/>
  <c r="Q48" i="7"/>
  <c r="P48" i="7"/>
  <c r="T47" i="7"/>
  <c r="S47" i="7"/>
  <c r="Q47" i="7"/>
  <c r="P47" i="7"/>
  <c r="T46" i="7"/>
  <c r="S46" i="7"/>
  <c r="Q46" i="7"/>
  <c r="P46" i="7"/>
  <c r="T45" i="7"/>
  <c r="S45" i="7"/>
  <c r="Q45" i="7"/>
  <c r="P45" i="7"/>
  <c r="T44" i="7"/>
  <c r="S44" i="7"/>
  <c r="Q44" i="7"/>
  <c r="P44" i="7"/>
  <c r="T43" i="7"/>
  <c r="S43" i="7"/>
  <c r="Q43" i="7"/>
  <c r="P43" i="7"/>
  <c r="T42" i="7"/>
  <c r="S42" i="7"/>
  <c r="Q42" i="7"/>
  <c r="P42" i="7"/>
  <c r="T41" i="7"/>
  <c r="S41" i="7"/>
  <c r="Q41" i="7"/>
  <c r="P41" i="7"/>
  <c r="T40" i="7"/>
  <c r="S40" i="7"/>
  <c r="Q40" i="7"/>
  <c r="P40" i="7"/>
  <c r="T39" i="7"/>
  <c r="S39" i="7"/>
  <c r="Q39" i="7"/>
  <c r="P39" i="7"/>
  <c r="T38" i="7"/>
  <c r="S38" i="7"/>
  <c r="Q38" i="7"/>
  <c r="P38" i="7"/>
  <c r="T37" i="7"/>
  <c r="S37" i="7"/>
  <c r="Q37" i="7"/>
  <c r="P37" i="7"/>
  <c r="T36" i="7"/>
  <c r="S36" i="7"/>
  <c r="Q36" i="7"/>
  <c r="P36" i="7"/>
  <c r="T35" i="7"/>
  <c r="S35" i="7"/>
  <c r="Q35" i="7"/>
  <c r="P35" i="7"/>
  <c r="T34" i="7"/>
  <c r="S34" i="7"/>
  <c r="Q34" i="7"/>
  <c r="P34" i="7"/>
  <c r="T33" i="7"/>
  <c r="S33" i="7"/>
  <c r="Q33" i="7"/>
  <c r="P33" i="7"/>
  <c r="T32" i="7"/>
  <c r="S32" i="7"/>
  <c r="Q32" i="7"/>
  <c r="P32" i="7"/>
  <c r="T31" i="7"/>
  <c r="S31" i="7"/>
  <c r="Q31" i="7"/>
  <c r="P31" i="7"/>
  <c r="T30" i="7"/>
  <c r="S30" i="7"/>
  <c r="Q30" i="7"/>
  <c r="P30" i="7"/>
  <c r="T29" i="7"/>
  <c r="S29" i="7"/>
  <c r="Q29" i="7"/>
  <c r="P29" i="7"/>
  <c r="T28" i="7"/>
  <c r="S28" i="7"/>
  <c r="Q28" i="7"/>
  <c r="P28" i="7"/>
  <c r="T27" i="7"/>
  <c r="S27" i="7"/>
  <c r="Q27" i="7"/>
  <c r="P27" i="7"/>
  <c r="T26" i="7"/>
  <c r="S26" i="7"/>
  <c r="Q26" i="7"/>
  <c r="P26" i="7"/>
  <c r="T25" i="7"/>
  <c r="S25" i="7"/>
  <c r="Q25" i="7"/>
  <c r="P25" i="7"/>
  <c r="T24" i="7"/>
  <c r="S24" i="7"/>
  <c r="Q24" i="7"/>
  <c r="P24" i="7"/>
  <c r="T23" i="7"/>
  <c r="S23" i="7"/>
  <c r="Q23" i="7"/>
  <c r="P23" i="7"/>
  <c r="T22" i="7"/>
  <c r="S22" i="7"/>
  <c r="Q22" i="7"/>
  <c r="P22" i="7"/>
  <c r="T21" i="7"/>
  <c r="S21" i="7"/>
  <c r="Q21" i="7"/>
  <c r="P21" i="7"/>
  <c r="T20" i="7"/>
  <c r="S20" i="7"/>
  <c r="Q20" i="7"/>
  <c r="P20" i="7"/>
  <c r="T19" i="7"/>
  <c r="S19" i="7"/>
  <c r="Q19" i="7"/>
  <c r="P19" i="7"/>
  <c r="T18" i="7"/>
  <c r="S18" i="7"/>
  <c r="Q18" i="7"/>
  <c r="P18" i="7"/>
  <c r="T17" i="7"/>
  <c r="S17" i="7"/>
  <c r="Q17" i="7"/>
  <c r="P17" i="7"/>
  <c r="T16" i="7"/>
  <c r="S16" i="7"/>
  <c r="Q16" i="7"/>
  <c r="P16" i="7"/>
  <c r="T15" i="7"/>
  <c r="S15" i="7"/>
  <c r="Q15" i="7"/>
  <c r="P15" i="7"/>
  <c r="T14" i="7"/>
  <c r="S14" i="7"/>
  <c r="Q14" i="7"/>
  <c r="P14" i="7"/>
  <c r="T13" i="7"/>
  <c r="S13" i="7"/>
  <c r="Q13" i="7"/>
  <c r="P13" i="7"/>
  <c r="T12" i="7"/>
  <c r="S12" i="7"/>
  <c r="Q12" i="7"/>
  <c r="P12" i="7"/>
  <c r="T11" i="7"/>
  <c r="S11" i="7"/>
  <c r="Q11" i="7"/>
  <c r="P11" i="7"/>
  <c r="T10" i="7"/>
  <c r="S10" i="7"/>
  <c r="Q10" i="7"/>
  <c r="P10" i="7"/>
  <c r="T9" i="7"/>
  <c r="S9" i="7"/>
  <c r="Q9" i="7"/>
  <c r="P9" i="7"/>
  <c r="T8" i="7"/>
  <c r="S8" i="7"/>
  <c r="Q8" i="7"/>
  <c r="P8" i="7"/>
  <c r="T7" i="7"/>
  <c r="S7" i="7"/>
  <c r="Q7" i="7"/>
  <c r="P7" i="7"/>
  <c r="T6" i="7"/>
  <c r="S6" i="7"/>
  <c r="Q6" i="7"/>
  <c r="P6" i="7"/>
  <c r="T5" i="7"/>
  <c r="S5" i="7"/>
  <c r="Q5" i="7"/>
  <c r="P5" i="7"/>
  <c r="T4" i="7"/>
  <c r="S4" i="7"/>
  <c r="Q4" i="7"/>
  <c r="R4" i="7" s="1"/>
  <c r="P4" i="7"/>
  <c r="T3" i="7"/>
  <c r="S3" i="7"/>
  <c r="Q3" i="7"/>
  <c r="P3" i="7"/>
  <c r="R5" i="7" l="1"/>
  <c r="R6" i="7" s="1"/>
  <c r="R7" i="7" s="1"/>
  <c r="R8" i="7" s="1"/>
  <c r="R9" i="7" s="1"/>
  <c r="R10" i="7" s="1"/>
  <c r="R11" i="7" s="1"/>
  <c r="R12" i="7" s="1"/>
  <c r="R13" i="7" s="1"/>
  <c r="R14" i="7" s="1"/>
  <c r="R15" i="7" s="1"/>
  <c r="R16" i="7" s="1"/>
  <c r="R17" i="7" s="1"/>
  <c r="R18" i="7" s="1"/>
  <c r="R19" i="7" s="1"/>
  <c r="R20" i="7" s="1"/>
  <c r="R21" i="7" s="1"/>
  <c r="R22" i="7" s="1"/>
  <c r="R23" i="7" s="1"/>
  <c r="R24" i="7" s="1"/>
  <c r="R25" i="7" s="1"/>
  <c r="R26" i="7" s="1"/>
  <c r="R27" i="7" s="1"/>
  <c r="R28" i="7" s="1"/>
  <c r="R29" i="7" s="1"/>
  <c r="R30" i="7" s="1"/>
  <c r="R31" i="7" s="1"/>
  <c r="R32" i="7" s="1"/>
  <c r="R33" i="7" s="1"/>
  <c r="R34" i="7" s="1"/>
  <c r="R35" i="7" s="1"/>
  <c r="R36" i="7" s="1"/>
  <c r="R37" i="7" s="1"/>
  <c r="R38" i="7" s="1"/>
  <c r="R39" i="7" s="1"/>
  <c r="R40" i="7" s="1"/>
  <c r="R41" i="7" s="1"/>
  <c r="R42" i="7" s="1"/>
  <c r="R43" i="7" s="1"/>
  <c r="R44" i="7" s="1"/>
  <c r="R45" i="7" s="1"/>
  <c r="R46" i="7" s="1"/>
  <c r="R47" i="7" s="1"/>
  <c r="R48" i="7" s="1"/>
  <c r="R49" i="7" s="1"/>
  <c r="R50" i="7" s="1"/>
  <c r="R51" i="7" s="1"/>
  <c r="R52" i="7" s="1"/>
  <c r="R53" i="7" s="1"/>
  <c r="R54" i="7" s="1"/>
  <c r="R55" i="7" s="1"/>
  <c r="R56" i="7" s="1"/>
  <c r="R57" i="7" s="1"/>
  <c r="R58" i="7" s="1"/>
  <c r="R59" i="7" s="1"/>
  <c r="R60" i="7" s="1"/>
  <c r="R61" i="7" s="1"/>
  <c r="R62" i="7" s="1"/>
  <c r="R63" i="7" s="1"/>
  <c r="R64" i="7" s="1"/>
  <c r="R65" i="7" s="1"/>
  <c r="R66" i="7" s="1"/>
  <c r="R67" i="7" s="1"/>
  <c r="R68" i="7" s="1"/>
  <c r="R69" i="7" s="1"/>
  <c r="R70" i="7" s="1"/>
  <c r="R71" i="7" s="1"/>
  <c r="R72" i="7" s="1"/>
  <c r="R73" i="7" s="1"/>
  <c r="R74" i="7" s="1"/>
  <c r="R75" i="7" s="1"/>
  <c r="R76" i="7" s="1"/>
  <c r="R77" i="7" s="1"/>
  <c r="R78" i="7" s="1"/>
  <c r="R79" i="7" s="1"/>
  <c r="R80" i="7" s="1"/>
  <c r="R81" i="7" s="1"/>
  <c r="R82" i="7" s="1"/>
  <c r="R83" i="7" s="1"/>
  <c r="R84" i="7" s="1"/>
  <c r="R85" i="7" s="1"/>
  <c r="R86" i="7" s="1"/>
  <c r="R87" i="7" s="1"/>
  <c r="R88" i="7" s="1"/>
  <c r="R89" i="7" s="1"/>
  <c r="R90" i="7" s="1"/>
  <c r="R91" i="7" s="1"/>
  <c r="R92" i="7" s="1"/>
  <c r="R93" i="7" s="1"/>
  <c r="R94" i="7" s="1"/>
  <c r="R95" i="7" s="1"/>
  <c r="R96" i="7" s="1"/>
  <c r="R97" i="7" s="1"/>
  <c r="R98" i="7" s="1"/>
  <c r="R99" i="7" s="1"/>
  <c r="R100" i="7" s="1"/>
  <c r="R101" i="7" s="1"/>
  <c r="R102" i="7" s="1"/>
  <c r="B14" i="9"/>
  <c r="B15" i="9"/>
  <c r="B16" i="9"/>
  <c r="B35" i="9"/>
  <c r="B37" i="9"/>
  <c r="B39" i="9"/>
  <c r="B41" i="9"/>
  <c r="B43" i="9"/>
  <c r="B45" i="9"/>
  <c r="B17" i="9"/>
  <c r="B18" i="9"/>
  <c r="G60" i="10"/>
  <c r="B36" i="9"/>
  <c r="B38" i="9"/>
  <c r="B40" i="9"/>
  <c r="B42" i="9"/>
  <c r="B44" i="9"/>
  <c r="G63" i="10" l="1"/>
  <c r="G45" i="9"/>
  <c r="G43" i="9"/>
  <c r="G41" i="9"/>
  <c r="G39" i="9"/>
  <c r="G37" i="9"/>
  <c r="G35" i="9"/>
  <c r="G46" i="9"/>
  <c r="G44" i="9"/>
  <c r="G42" i="9"/>
  <c r="G40" i="9"/>
  <c r="G38" i="9"/>
  <c r="G36" i="9"/>
  <c r="F45" i="9"/>
  <c r="F43" i="9"/>
  <c r="F41" i="9"/>
  <c r="F39" i="9"/>
  <c r="F37" i="9"/>
  <c r="F35" i="9"/>
  <c r="F46" i="9"/>
  <c r="F44" i="9"/>
  <c r="F42" i="9"/>
  <c r="F40" i="9"/>
  <c r="F38" i="9"/>
  <c r="F36" i="9"/>
  <c r="G62" i="10"/>
  <c r="E45" i="9"/>
  <c r="E43" i="9"/>
  <c r="E41" i="9"/>
  <c r="E39" i="9"/>
  <c r="E37" i="9"/>
  <c r="E35" i="9"/>
  <c r="E46" i="9"/>
  <c r="E44" i="9"/>
  <c r="E42" i="9"/>
  <c r="E40" i="9"/>
  <c r="E38" i="9"/>
  <c r="E36" i="9"/>
  <c r="D45" i="9"/>
  <c r="D43" i="9"/>
  <c r="D41" i="9"/>
  <c r="D39" i="9"/>
  <c r="D37" i="9"/>
  <c r="D35" i="9"/>
  <c r="D46" i="9"/>
  <c r="D44" i="9"/>
  <c r="D42" i="9"/>
  <c r="D40" i="9"/>
  <c r="D38" i="9"/>
  <c r="D36" i="9"/>
  <c r="G61" i="10"/>
  <c r="C45" i="9"/>
  <c r="C43" i="9"/>
  <c r="C41" i="9"/>
  <c r="C39" i="9"/>
  <c r="C37" i="9"/>
  <c r="C35" i="9"/>
  <c r="C46" i="9"/>
  <c r="C44" i="9"/>
  <c r="C42" i="9"/>
  <c r="C40" i="9"/>
  <c r="C38" i="9"/>
  <c r="C36" i="9"/>
</calcChain>
</file>

<file path=xl/sharedStrings.xml><?xml version="1.0" encoding="utf-8"?>
<sst xmlns="http://schemas.openxmlformats.org/spreadsheetml/2006/main" count="1096" uniqueCount="347">
  <si>
    <t>🇬🇧  UK RETAIL RESILIENCE — PROJECT DOCUMENTATION</t>
  </si>
  <si>
    <t>PROJECT OVERVIEW</t>
  </si>
  <si>
    <t>Title</t>
  </si>
  <si>
    <t>UK Retail Resilience: How Inflation &amp; Interest Rates Reshape Consumer Spending</t>
  </si>
  <si>
    <t>Purpose</t>
  </si>
  <si>
    <t>Portfolio project for Finance/FinTech Analyst (UK) roles. Demonstrates ability to source, clean and model ONS/BoE macro data in Excel.</t>
  </si>
  <si>
    <t>Data Window</t>
  </si>
  <si>
    <t>January 2018 to April 2026 — captures pre-pandemic baseline, COVID shock, inflation surge, rate-hiking cycle, and first rate cuts.</t>
  </si>
  <si>
    <t>DATA SOURCES</t>
  </si>
  <si>
    <t>RSI Volume Index</t>
  </si>
  <si>
    <t>ONS KPSA: Chained volume of retail sales, seasonally adjusted. Index 2023=100. Sectors: All, Food, Non-food, Clothing, HH Goods, Non-store. Source: mainreferencetables.xlsx</t>
  </si>
  <si>
    <t>RSI Value YoY%</t>
  </si>
  <si>
    <t>ONS CPSA1: Value of retail sales, % change on same month a year earlier. Source: mainreferencetables.xlsx</t>
  </si>
  <si>
    <t>CPI YoY%</t>
  </si>
  <si>
    <t>ONS D7G7 series — Consumer Prices Index, 12-month rate. 2018-2023 from ONS records; 2023-2026 from consumerpriceinflationdetailedreferencetables.xlsx</t>
  </si>
  <si>
    <t>BoE Base Rate</t>
  </si>
  <si>
    <t>Bank of England official policy rate. Change dates expanded to monthly by forward-fill. Source: Bank_Rate_history_and_data.xlsx</t>
  </si>
  <si>
    <t>AWE Total Pay YoY%</t>
  </si>
  <si>
    <t>ONS KAC2 series — Average Weekly Earnings, whole economy, single-month % change YoY. Source: earn01may2026.xls</t>
  </si>
  <si>
    <t>GDP YoY%</t>
  </si>
  <si>
    <t>ONS ECY2 series — Monthly GVA, % change on same month a year ago. Source: monthlygdptablesapr26.xlsx</t>
  </si>
  <si>
    <t>Licence</t>
  </si>
  <si>
    <t>All ONS datasets released under UK Open Government Licence v3.0 — free to use in portfolio work.</t>
  </si>
  <si>
    <t>METHODOLOGY</t>
  </si>
  <si>
    <t>Real RSI Growth</t>
  </si>
  <si>
    <t>nominal rsi yoy% (cpsa1) minus cpi yoy% (d7g7) — removes inflation distortion to show true volume change.</t>
  </si>
  <si>
    <t>Purchasing Power Gap</t>
  </si>
  <si>
    <t>awe yoy% minus cpi yoy% — positive = wage growth outpacing inflation; negative = squeeze.</t>
  </si>
  <si>
    <t>Purchasing Power Index</t>
  </si>
  <si>
    <t>Cumulative product of (1 + (AWE-CPI)/1200), base=100 in Jan 2018. Falls below 100 = real purchasing power eroded vs. baseline.</t>
  </si>
  <si>
    <t>Rate Pass-Through Lag</t>
  </si>
  <si>
    <t>CORREL(BoE Rate, RSI YoY%) computed at lags of 0, 3, 6, 9, 12 months to find peak monetary policy transmission.</t>
  </si>
  <si>
    <t>Sector Vulnerability Score</t>
  </si>
  <si>
    <t>Weighted Z-score: 0.5 x Z(Real Sales Decline) + 0.3 x Z(Rate Correlation) + 0.2 x Z(Discretionary Weight). Higher = more vulnerable.</t>
  </si>
  <si>
    <t>Online Share Proxy</t>
  </si>
  <si>
    <t>RSI Non-store volume index as ratio to All Retail volume index, indexed to pre-pandemic (2019) avg = 100.</t>
  </si>
  <si>
    <t>WORKBOOK STRUCTURE</t>
  </si>
  <si>
    <t>README</t>
  </si>
  <si>
    <t>This sheet — full project documentation.</t>
  </si>
  <si>
    <t>Raw_RSI</t>
  </si>
  <si>
    <t>Untouched ONS RSI volume and value data (KPSA + CPSA1 sheets).</t>
  </si>
  <si>
    <t>Raw_CPI</t>
  </si>
  <si>
    <t>ONS Consumer Price Inflation time series.</t>
  </si>
  <si>
    <t>Raw_BoE</t>
  </si>
  <si>
    <t>Bank of England base rate change history.</t>
  </si>
  <si>
    <t>Raw_AWE</t>
  </si>
  <si>
    <t>ONS Average Weekly Earnings — Total Pay YoY%.</t>
  </si>
  <si>
    <t>Raw_GDP</t>
  </si>
  <si>
    <t>ONS Monthly GDP GVA YoY%.</t>
  </si>
  <si>
    <t>Master</t>
  </si>
  <si>
    <t>Cleaned, joined monthly dataset 2018–2026. All analysis built from here.</t>
  </si>
  <si>
    <t>Pivots</t>
  </si>
  <si>
    <t>4 analysis tables: Annual Sector Summary, Online Shift, Rate Lag, Sector Vulnerability.</t>
  </si>
  <si>
    <t>Scenario_Model</t>
  </si>
  <si>
    <t>Interactive what-if: 4 yellow input cells → projected sector growth, sensitivity grid, 12-month forecast.</t>
  </si>
  <si>
    <t>Dashboard</t>
  </si>
  <si>
    <t>Executive one-pager: 5 KPI tiles, 4 professional charts, CFO insight box, scenario panel.</t>
  </si>
  <si>
    <t>COLOUR CODING (STANDARD FINANCE)</t>
  </si>
  <si>
    <t>Blue text</t>
  </si>
  <si>
    <t>Hardcoded user inputs (change to your scenario assumptions).</t>
  </si>
  <si>
    <t>Black text</t>
  </si>
  <si>
    <t>All calculated formulas.</t>
  </si>
  <si>
    <t>Green text</t>
  </si>
  <si>
    <t>Cross-sheet formula links.</t>
  </si>
  <si>
    <t>Yellow background</t>
  </si>
  <si>
    <t>Key assumption cells requiring user input.</t>
  </si>
  <si>
    <t>CV / LINKEDIN READY</t>
  </si>
  <si>
    <t>CV Bullet</t>
  </si>
  <si>
    <t>Built an end-to-end Excel model linking ONS RSI, CPI, BoE base rate and AWE data (2018-2026, 100 monthly observations) to quantify UK consumer spending sensitivity to monetary policy. Produced sector vulnerability ranking, interactive what-if scenario tool and executive dashboard relevant to consumer-credit and BNPL risk modelling.</t>
  </si>
  <si>
    <t>LinkedIn</t>
  </si>
  <si>
    <t>Analysed 8+ years of UK ONS and Bank of England data in Excel to model how inflation and interest rates reshape retail spending — delivered a sector resilience scorecard, scenario tool and executive dashboard.</t>
  </si>
  <si>
    <t>ONS Retail Sales Index — Volume &amp; Value Data (2018–2026)</t>
  </si>
  <si>
    <t>Date (YYYY-MM)</t>
  </si>
  <si>
    <t>All Retail Vol</t>
  </si>
  <si>
    <t>Food Stores Vol</t>
  </si>
  <si>
    <t>Non-Food Vol</t>
  </si>
  <si>
    <t>Clothing Vol</t>
  </si>
  <si>
    <t>HH Goods Vol</t>
  </si>
  <si>
    <t>Non-Store Vol</t>
  </si>
  <si>
    <t>All Retail YoY%</t>
  </si>
  <si>
    <t>Food YoY%</t>
  </si>
  <si>
    <t>Clothing YoY%</t>
  </si>
  <si>
    <t>HH Goods YoY%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</si>
  <si>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</si>
  <si>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</si>
  <si>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</si>
  <si>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</si>
  <si>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</si>
  <si>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</si>
  <si>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</si>
  <si>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</si>
  <si>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</si>
  <si>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</si>
  <si>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</si>
  <si>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</si>
  <si>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</si>
  <si>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</si>
  <si>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</si>
  <si>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</si>
  <si>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</si>
  <si>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</si>
  <si>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</si>
  <si>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</si>
  <si>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</si>
  <si>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</si>
  <si>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</si>
  <si>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</si>
  <si>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</si>
  <si>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</si>
  <si>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</si>
  <si>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</si>
  <si>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</si>
  <si>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</si>
  <si>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</si>
  <si>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</si>
  <si>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</si>
  <si>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</si>
  <si>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</si>
  <si>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</si>
  <si>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</si>
  <si>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</si>
  <si>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</si>
  <si>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</si>
  <si>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</si>
  <si>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</si>
  <si>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</si>
  <si>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</si>
  <si>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</si>
  <si>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</si>
  <si>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</si>
  <si>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</si>
  <si>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</si>
  <si>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</si>
  <si>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</si>
  <si>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</si>
  <si>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</si>
  <si>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</si>
  <si>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</si>
  <si>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</si>
  <si>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</si>
  <si>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</si>
  <si>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</si>
  <si>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</si>
  <si>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</si>
  <si>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</si>
  <si>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</si>
  <si>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</si>
  <si>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</si>
  <si>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</si>
  <si>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</si>
  <si>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</si>
  <si>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</si>
  <si>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</si>
  <si>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</si>
  <si>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</si>
  <si>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</si>
  <si>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</si>
  <si>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</si>
  <si>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</si>
  <si>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</si>
  <si>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</si>
  <si>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</si>
  <si>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</si>
  <si>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</si>
  <si>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</si>
  <si>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</si>
  <si>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</si>
  <si>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</si>
  <si>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</si>
  <si>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</si>
  <si>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</si>
  <si>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</si>
  <si>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</si>
  <si>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</si>
  <si>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</si>
  <si>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</si>
  <si>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</si>
  <si>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</si>
  <si>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</si>
  <si>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</si>
  <si>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</si>
  <si>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</si>
  <si>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</si>
  <si>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ONS Consumer Prices Index — CPI YoY% (2018–2026)</t>
  </si>
  <si>
    <t>CPI YoY% (D7G7)</t>
  </si>
  <si>
    <t>Bank of England Official Base Rate — Monthly (2018–2026)</t>
  </si>
  <si>
    <t>BoE Base Rate (%)</t>
  </si>
  <si>
    <t>ONS Average Weekly Earnings — Total Pay YoY% (2018–2026)</t>
  </si>
  <si>
    <t>AWE Total Pay YoY% (KAC2)</t>
  </si>
  <si>
    <t>ONS Monthly GDP — Total GVA YoY% (2018–2026)</t>
  </si>
  <si>
    <t>GDP/GVA YoY% (ECY2)</t>
  </si>
  <si>
    <t>MASTER TABLE — Cleaned Joined Monthly Dataset | 2018-01 to 2026-04 | All Analysis Built From Here</t>
  </si>
  <si>
    <t>Date</t>
  </si>
  <si>
    <t>RSI All Vol</t>
  </si>
  <si>
    <t>RSI Food Vol</t>
  </si>
  <si>
    <t>RSI NonFood Vol</t>
  </si>
  <si>
    <t>RSI Clothing Vol</t>
  </si>
  <si>
    <t>RSI HH Goods Vol</t>
  </si>
  <si>
    <t>RSI NonStore Vol</t>
  </si>
  <si>
    <t>RSI Nom YoY%</t>
  </si>
  <si>
    <t>RSI Food YoY%</t>
  </si>
  <si>
    <t>RSI Cloth YoY%</t>
  </si>
  <si>
    <t>RSI HH YoY%</t>
  </si>
  <si>
    <t>BoE Rate%</t>
  </si>
  <si>
    <t>AWE YoY%</t>
  </si>
  <si>
    <t>Real RSI Growth%</t>
  </si>
  <si>
    <t>Purch Power Gap%</t>
  </si>
  <si>
    <t>Purch Power Idx</t>
  </si>
  <si>
    <t>Year</t>
  </si>
  <si>
    <t>Quarter</t>
  </si>
  <si>
    <t>PIVOT &amp; ANALYSIS TABLES — All 4 Required Analyses</t>
  </si>
  <si>
    <t>TABLE 1: Annual Sector Summary — Volume Index (2023=100) &amp; Key Macro Indicators</t>
  </si>
  <si>
    <t>All Retail</t>
  </si>
  <si>
    <t>Food</t>
  </si>
  <si>
    <t>Non-Food</t>
  </si>
  <si>
    <t>Clothing</t>
  </si>
  <si>
    <t>HH Goods</t>
  </si>
  <si>
    <t>Non-Store</t>
  </si>
  <si>
    <t>Real RSI%</t>
  </si>
  <si>
    <t>TABLE 2: Online Channel Penetration — Structural Digital Shift (Non-Store Volume Index, 2023=100)</t>
  </si>
  <si>
    <t>Non-Store Vol Idx</t>
  </si>
  <si>
    <t>All Retail Vol Idx</t>
  </si>
  <si>
    <t>Ratio (NonStore/All)</t>
  </si>
  <si>
    <t>YoY Change (pp)</t>
  </si>
  <si>
    <t>Trend</t>
  </si>
  <si>
    <t>→ Stable</t>
  </si>
  <si>
    <t>▲ Rising</t>
  </si>
  <si>
    <t>▼ Falling</t>
  </si>
  <si>
    <t>TABLE 3: Rate Pass-Through Lag Analysis — CORREL(BoE Rate, RSI YoY%) at t, t-3, t-6, t-9, t-12 months</t>
  </si>
  <si>
    <t>Lag (months)</t>
  </si>
  <si>
    <t>Correlation</t>
  </si>
  <si>
    <t>Strength</t>
  </si>
  <si>
    <t>Interpretation</t>
  </si>
  <si>
    <t>Peak?</t>
  </si>
  <si>
    <t>Weak</t>
  </si>
  <si>
    <t>Contemporaneous — rate rises coincide with RSI weakness</t>
  </si>
  <si>
    <t>3-month lag — early monetary policy transmission</t>
  </si>
  <si>
    <t>6-month lag — core consumer credit &amp; mortgage repricing channel</t>
  </si>
  <si>
    <t>★ PEAK</t>
  </si>
  <si>
    <t>9-month lag — sustained discretionary spending pullback</t>
  </si>
  <si>
    <t>12-month lag — base effects begin to dominate</t>
  </si>
  <si>
    <t>TABLE 4: Sector Vulnerability Scorecard — Weighted Z-Score (0.5×Real Decline + 0.3×Rate Corr + 0.2×Discretionary Wt)</t>
  </si>
  <si>
    <t>Sector</t>
  </si>
  <si>
    <t>Avg Real Growth%</t>
  </si>
  <si>
    <t>Z(RealDecline)</t>
  </si>
  <si>
    <t>Rate Corr (6m)</t>
  </si>
  <si>
    <t>Z(RateCorr)</t>
  </si>
  <si>
    <t>Discret. Wt</t>
  </si>
  <si>
    <t>Vuln Score</t>
  </si>
  <si>
    <t>Rank</t>
  </si>
  <si>
    <t>RAG</t>
  </si>
  <si>
    <t>Food Stores</t>
  </si>
  <si>
    <t>MEDIUM</t>
  </si>
  <si>
    <t>Non-Food (All)</t>
  </si>
  <si>
    <t>HIGH ⚠</t>
  </si>
  <si>
    <t>Clothing &amp; Ftwr</t>
  </si>
  <si>
    <t>Household Goods</t>
  </si>
  <si>
    <t>LOW ✓</t>
  </si>
  <si>
    <t>Non-Store/Online</t>
  </si>
  <si>
    <t>SCENARIO / WHAT-IF MODEL — 12-Month UK Retail Outlook</t>
  </si>
  <si>
    <t>Change the 4 YELLOW cells below to model different macro scenarios. All outputs auto-update instantly.</t>
  </si>
  <si>
    <t>USER INPUTS — Change yellow cells</t>
  </si>
  <si>
    <t>Assumed BoE Base Rate (%)</t>
  </si>
  <si>
    <t>← Current path: Cutting from 5.25% peak</t>
  </si>
  <si>
    <t>Assumed CPI Inflation (%)</t>
  </si>
  <si>
    <t>← ONS target 2%; currently above</t>
  </si>
  <si>
    <t>Assumed Wage Growth AWE (%)</t>
  </si>
  <si>
    <t>← ONS AWE trending down from 9% peak</t>
  </si>
  <si>
    <t>Rate Pass-Through Lag (months)</t>
  </si>
  <si>
    <t>← Analysis shows 6m is peak lag</t>
  </si>
  <si>
    <t>MODEL OUTPUTS — Auto-update when inputs change</t>
  </si>
  <si>
    <t>Purchasing Power Gap (%)</t>
  </si>
  <si>
    <t>AWE minus CPI — positive = consumer can spend more</t>
  </si>
  <si>
    <t>Rate Drag on Discretionary (%)</t>
  </si>
  <si>
    <t>Estimated demand suppression from elevated rates</t>
  </si>
  <si>
    <t>Projected Real RSI Growth — All Retail (%)</t>
  </si>
  <si>
    <t>Combined purchasing power + rate effect</t>
  </si>
  <si>
    <t>Food Stores Projected Growth (%)</t>
  </si>
  <si>
    <t>Low rate sensitivity — staple spending</t>
  </si>
  <si>
    <t>Non-Food Discretionary Growth (%)</t>
  </si>
  <si>
    <t>Higher rate sensitivity — delayed purchases</t>
  </si>
  <si>
    <t>Clothing &amp; Footwear Growth (%)</t>
  </si>
  <si>
    <t>Highest discretionary weight in model</t>
  </si>
  <si>
    <t>Household Goods Growth (%)</t>
  </si>
  <si>
    <t>Big-ticket, credit-financed — rate sensitive</t>
  </si>
  <si>
    <t>Non-Store / Online Growth (%)</t>
  </si>
  <si>
    <t>Partially insulated — convenience &amp; habit</t>
  </si>
  <si>
    <t>SENSITIVITY TABLE — Projected Real RSI Growth (%) across Base Rate × CPI grid (Wage Growth fixed at B6)</t>
  </si>
  <si>
    <t>Rate ↓  |  CPI →</t>
  </si>
  <si>
    <t>1.5%</t>
  </si>
  <si>
    <t>2.0%</t>
  </si>
  <si>
    <t>2.5%</t>
  </si>
  <si>
    <t>3.0%</t>
  </si>
  <si>
    <t>3.5%</t>
  </si>
  <si>
    <t>4.0%</t>
  </si>
  <si>
    <t>5.0%</t>
  </si>
  <si>
    <t>6.0%</t>
  </si>
  <si>
    <t>8.0%</t>
  </si>
  <si>
    <t>4.25%</t>
  </si>
  <si>
    <t>4.5%</t>
  </si>
  <si>
    <t>5.25%</t>
  </si>
  <si>
    <t>5.5%</t>
  </si>
  <si>
    <t>12-MONTH SECTOR PROJECTION — Based on Current Inputs (fade = diminishing effect over time)</t>
  </si>
  <si>
    <t>Month</t>
  </si>
  <si>
    <t>All Retail (%)</t>
  </si>
  <si>
    <t>Food (%)</t>
  </si>
  <si>
    <t>Non-Food (%)</t>
  </si>
  <si>
    <t>Clothing (%)</t>
  </si>
  <si>
    <t>HH Goods (%)</t>
  </si>
  <si>
    <t>Online (%)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</si>
  <si>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</si>
  <si>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</si>
  <si>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</si>
  <si>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</si>
  <si>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</si>
  <si>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</si>
  <si>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</si>
  <si>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</si>
  <si>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</si>
  <si>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</si>
  <si>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</si>
  <si>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</si>
  <si>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🇬🇧  UK RETAIL RESILIENCE DASHBOARD   |   How Inflation &amp; Interest Rates Reshape Consumer Spending</t>
  </si>
  <si>
    <t>Data Sources: ONS Retail Sales Index  ·  ONS CPI  ·  Bank of England Base Rate  ·  ONS AWE  ·  ONS Monthly GDP   |   Period: Jan 2018 – Apr 2026   |   100 Monthly Observations</t>
  </si>
  <si>
    <t>KEY PERFORMANCE INDICATORS   (Latest Data)</t>
  </si>
  <si>
    <t>LATEST CPI YoY%</t>
  </si>
  <si>
    <t>BoE BASE RATE</t>
  </si>
  <si>
    <t>REAL RSI GROWTH</t>
  </si>
  <si>
    <t>AWE TOTAL PAY YoY%</t>
  </si>
  <si>
    <t>PURCH POWER IDX</t>
  </si>
  <si>
    <t>Apr 2026</t>
  </si>
  <si>
    <t>Mar 2025</t>
  </si>
  <si>
    <t>Nom YoY − CPI</t>
  </si>
  <si>
    <t>Mar 2026</t>
  </si>
  <si>
    <t>Base=100 Jan-18</t>
  </si>
  <si>
    <t>🔍  30-SECOND CFO INSIGHT</t>
  </si>
  <si>
    <t>▶  [MACRO]  Real retail sales contracted sharply in 2022-23 (avg -5.2%/yr) despite nominal growth — the 11.1% CPI peak Oct-22 eroded purchasing power. The Purch. Power Index fell from 100 (Jan-18) to ~87 at the trough, recovering slowly as wages caught up in late 2023.</t>
  </si>
  <si>
    <t>▶  [SECTOR]  Clothing &amp; Footwear and Household Goods showed 1.6-1.8× the rate sensitivity of Food retail. Discretionary categories lost 12-15% real volume at the 5.25% rate peak. Non-store retailing outperformed throughout — structural channel shift insulating online from macro cycles.</t>
  </si>
  <si>
    <t>▶  [STRUCTURAL]  Rate pass-through lag analysis confirms peak transmission at 6 months (r=-0.67). Non-store volume ratio to all retail rose from ~0.72 pre-2020 to ~1.08 post-2020 — a structural 50% uplift in online share. BNPL risk signals: real wage gap worst in 2022 (AWE-CPI avg -3.5pp).</t>
  </si>
  <si>
    <t>📊  SCENARIO MODEL SNAPSHOT   (update inputs in Scenario_Model sheet)</t>
  </si>
  <si>
    <t>Assumed BoE Base Rate</t>
  </si>
  <si>
    <t>Assumed CPI Inflation</t>
  </si>
  <si>
    <t>Assumed Wage Growth (AWE)</t>
  </si>
  <si>
    <t>Projected Real RSI Growth</t>
  </si>
  <si>
    <t>Food Sector Projection</t>
  </si>
  <si>
    <t>Clothing/HH Goods Projection</t>
  </si>
  <si>
    <t>Online/Non-Store 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</si>
</sst>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0000FF"/>
      <name val="Arial"/>
      <charset val="1"/>
    </font>
    <font>
      <sz val="9"/>
      <color rgb="FF0000FF"/>
      <name val="Arial"/>
      <charset val="1"/>
    </font>
    <font>
      <b/>
      <sz val="14"/>
      <color rgb="FFFFFFFF"/>
      <name val="Arial"/>
      <charset val="1"/>
    </font>
    <font>
      <i/>
      <sz val="10"/>
      <color rgb="FF7F0000"/>
      <name val="Arial"/>
      <charset val="1"/>
    </font>
    <font>
      <b/>
      <sz val="10"/>
      <color rgb="FF000000"/>
      <name val="Arial"/>
      <charset val="1"/>
    </font>
    <font>
      <b/>
      <sz val="12"/>
      <color rgb="FF0000FF"/>
      <name val="Arial"/>
      <charset val="1"/>
    </font>
    <font>
      <i/>
      <sz val="9"/>
      <color rgb="FF606060"/>
      <name val="Arial"/>
      <charset val="1"/>
    </font>
    <font>
      <sz val="10"/>
      <color rgb="FF006400"/>
      <name val="Arial"/>
      <charset val="1"/>
    </font>
    <font>
      <i/>
      <sz val="8"/>
      <color rgb="FF606060"/>
      <name val="Arial"/>
      <charset val="1"/>
    </font>
    <font>
      <b/>
      <sz val="10"/>
      <color rgb="FF006400"/>
      <name val="Arial"/>
      <charset val="1"/>
    </font>
    <font>
      <b/>
      <sz val="9"/>
      <color rgb="FF1B5E20"/>
      <name val="Arial"/>
      <charset val="1"/>
    </font>
    <font>
      <b/>
      <sz val="9"/>
      <color rgb="FF7F5000"/>
      <name val="Arial"/>
      <charset val="1"/>
    </font>
    <font>
      <b/>
      <sz val="9"/>
      <color rgb="FF7F0000"/>
      <name val="Arial"/>
      <charset val="1"/>
    </font>
    <font>
      <sz val="9"/>
      <color rgb="FF006400"/>
      <name val="Arial"/>
      <charset val="1"/>
    </font>
    <font>
      <i/>
      <sz val="9"/>
      <color rgb="FFFFFFFF"/>
      <name val="Arial"/>
      <charset val="1"/>
    </font>
    <font>
      <b/>
      <sz val="8"/>
      <color rgb="FF444444"/>
      <name val="Arial"/>
      <charset val="1"/>
    </font>
    <font>
      <b/>
      <sz val="22"/>
      <color rgb="FFE65100"/>
      <name val="Arial"/>
      <charset val="1"/>
    </font>
    <font>
      <b/>
      <sz val="22"/>
      <color rgb="FF7B1FA2"/>
      <name val="Arial"/>
      <charset val="1"/>
    </font>
    <font>
      <b/>
      <sz val="22"/>
      <color rgb="FF1B5E20"/>
      <name val="Arial"/>
      <charset val="1"/>
    </font>
    <font>
      <b/>
      <sz val="22"/>
      <color rgb="FF1565C0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17375E"/>
        <bgColor rgb="FF1F3864"/>
      </patternFill>
    </fill>
    <fill>
      <patternFill patternType="solid">
        <fgColor rgb="FFE8E8E8"/>
        <bgColor rgb="FFEEEEEE"/>
      </patternFill>
    </fill>
    <fill>
      <patternFill patternType="solid">
        <fgColor rgb="FFFFFFFF"/>
        <bgColor rgb="FFFAFAFA"/>
      </patternFill>
    </fill>
    <fill>
      <patternFill patternType="solid">
        <fgColor rgb="FFF5F5F5"/>
        <bgColor rgb="FFF9F9F9"/>
      </patternFill>
    </fill>
    <fill>
      <patternFill patternType="solid">
        <fgColor rgb="FFFFF9C4"/>
        <bgColor rgb="FFFFFDE7"/>
      </patternFill>
    </fill>
    <fill>
      <patternFill patternType="solid">
        <fgColor rgb="FFC8E6C9"/>
        <bgColor rgb="FFD9D9D9"/>
      </patternFill>
    </fill>
    <fill>
      <patternFill patternType="solid">
        <fgColor rgb="FFFFCDD2"/>
        <bgColor rgb="FFDDDDDD"/>
      </patternFill>
    </fill>
    <fill>
      <patternFill patternType="solid">
        <fgColor rgb="FFFFFF00"/>
        <bgColor rgb="FFFFCC00"/>
      </patternFill>
    </fill>
    <fill>
      <patternFill patternType="solid">
        <fgColor rgb="FFFAFAFA"/>
        <bgColor rgb="FFF9F9F9"/>
      </patternFill>
    </fill>
    <fill>
      <patternFill patternType="solid">
        <fgColor rgb="FFEEEEEE"/>
        <bgColor rgb="FFE8E8E8"/>
      </patternFill>
    </fill>
    <fill>
      <patternFill patternType="solid">
        <fgColor rgb="FFB8860B"/>
        <bgColor rgb="FFF57C00"/>
      </patternFill>
    </fill>
    <fill>
      <patternFill patternType="solid">
        <fgColor rgb="FFFFFDE7"/>
        <bgColor rgb="FFFAFAFA"/>
      </patternFill>
    </fill>
  </fills>
  <borders count="2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indexed="64"/>
      </right>
      <top style="thin">
        <color rgb="FFDDDDDD"/>
      </top>
      <bottom style="thin">
        <color rgb="FFDDDDDD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164" fontId="9" fillId="6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2" fontId="13" fillId="10" borderId="3" xfId="0" applyNumberFormat="1" applyFont="1" applyFill="1" applyBorder="1" applyAlignment="1">
      <alignment horizontal="center" vertical="center" wrapText="1"/>
    </xf>
    <xf numFmtId="2" fontId="15" fillId="8" borderId="1" xfId="0" applyNumberFormat="1" applyFont="1" applyFill="1" applyBorder="1" applyAlignment="1">
      <alignment horizontal="center" vertical="center" wrapText="1"/>
    </xf>
    <xf numFmtId="2" fontId="17" fillId="8" borderId="1" xfId="0" applyNumberFormat="1" applyFont="1" applyFill="1" applyBorder="1" applyAlignment="1">
      <alignment horizontal="center" vertical="center" wrapText="1"/>
    </xf>
    <xf numFmtId="2" fontId="18" fillId="8" borderId="1" xfId="0" applyNumberFormat="1" applyFont="1" applyFill="1" applyBorder="1" applyAlignment="1">
      <alignment horizontal="center" vertical="center" wrapText="1"/>
    </xf>
    <xf numFmtId="2" fontId="19" fillId="7" borderId="1" xfId="0" applyNumberFormat="1" applyFont="1" applyFill="1" applyBorder="1" applyAlignment="1">
      <alignment horizontal="center" vertical="center" wrapText="1"/>
    </xf>
    <xf numFmtId="2" fontId="20" fillId="9" borderId="1" xfId="0" applyNumberFormat="1" applyFont="1" applyFill="1" applyBorder="1" applyAlignment="1">
      <alignment horizontal="center" vertical="center" wrapText="1"/>
    </xf>
    <xf numFmtId="2" fontId="21" fillId="5" borderId="1" xfId="0" applyNumberFormat="1" applyFont="1" applyFill="1" applyBorder="1" applyAlignment="1">
      <alignment horizontal="center" vertical="center" wrapText="1"/>
    </xf>
    <xf numFmtId="2" fontId="21" fillId="6" borderId="1" xfId="0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4" fillId="5" borderId="18" xfId="0" applyFont="1" applyFill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4" fillId="6" borderId="18" xfId="0" applyFont="1" applyFill="1" applyBorder="1" applyAlignment="1">
      <alignment horizontal="left" vertical="center" wrapText="1"/>
    </xf>
    <xf numFmtId="0" fontId="3" fillId="5" borderId="18" xfId="0" applyFont="1" applyFill="1" applyBorder="1" applyAlignment="1">
      <alignment horizontal="left" vertical="center" wrapText="1"/>
    </xf>
    <xf numFmtId="0" fontId="4" fillId="6" borderId="19" xfId="0" applyFont="1" applyFill="1" applyBorder="1" applyAlignment="1">
      <alignment horizontal="left" vertical="center" wrapText="1"/>
    </xf>
    <xf numFmtId="2" fontId="15" fillId="8" borderId="20" xfId="0" applyNumberFormat="1" applyFont="1" applyFill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12" fillId="4" borderId="18" xfId="0" applyFont="1" applyFill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2" fillId="4" borderId="19" xfId="0" applyFont="1" applyFill="1" applyBorder="1" applyAlignment="1">
      <alignment horizontal="left" vertical="center" wrapText="1"/>
    </xf>
    <xf numFmtId="2" fontId="13" fillId="10" borderId="21" xfId="0" applyNumberFormat="1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12" xfId="0" applyFont="1" applyFill="1" applyBorder="1" applyAlignment="1">
      <alignment horizontal="left" vertical="center" wrapText="1"/>
    </xf>
    <xf numFmtId="0" fontId="23" fillId="11" borderId="11" xfId="0" applyFont="1" applyFill="1" applyBorder="1" applyAlignment="1">
      <alignment horizontal="center" vertical="center" wrapText="1"/>
    </xf>
    <xf numFmtId="0" fontId="23" fillId="11" borderId="4" xfId="0" applyFont="1" applyFill="1" applyBorder="1" applyAlignment="1">
      <alignment horizontal="center" vertical="center" wrapText="1"/>
    </xf>
    <xf numFmtId="0" fontId="23" fillId="11" borderId="12" xfId="0" applyFont="1" applyFill="1" applyBorder="1" applyAlignment="1">
      <alignment horizontal="center" vertical="center" wrapText="1"/>
    </xf>
    <xf numFmtId="10" fontId="24" fillId="11" borderId="11" xfId="0" applyNumberFormat="1" applyFont="1" applyFill="1" applyBorder="1" applyAlignment="1">
      <alignment horizontal="center" vertical="center" wrapText="1"/>
    </xf>
    <xf numFmtId="0" fontId="24" fillId="11" borderId="4" xfId="0" applyFont="1" applyFill="1" applyBorder="1" applyAlignment="1">
      <alignment horizontal="center" vertical="center" wrapText="1"/>
    </xf>
    <xf numFmtId="10" fontId="25" fillId="11" borderId="4" xfId="0" applyNumberFormat="1" applyFont="1" applyFill="1" applyBorder="1" applyAlignment="1">
      <alignment horizontal="center" vertical="center" wrapText="1"/>
    </xf>
    <xf numFmtId="0" fontId="25" fillId="11" borderId="4" xfId="0" applyFont="1" applyFill="1" applyBorder="1" applyAlignment="1">
      <alignment horizontal="center" vertical="center" wrapText="1"/>
    </xf>
    <xf numFmtId="10" fontId="26" fillId="11" borderId="4" xfId="0" applyNumberFormat="1" applyFont="1" applyFill="1" applyBorder="1" applyAlignment="1">
      <alignment horizontal="center" vertical="center" wrapText="1"/>
    </xf>
    <xf numFmtId="0" fontId="26" fillId="11" borderId="4" xfId="0" applyFont="1" applyFill="1" applyBorder="1" applyAlignment="1">
      <alignment horizontal="center" vertical="center" wrapText="1"/>
    </xf>
    <xf numFmtId="10" fontId="27" fillId="11" borderId="4" xfId="0" applyNumberFormat="1" applyFont="1" applyFill="1" applyBorder="1" applyAlignment="1">
      <alignment horizontal="center" vertical="center" wrapText="1"/>
    </xf>
    <xf numFmtId="0" fontId="27" fillId="11" borderId="4" xfId="0" applyFont="1" applyFill="1" applyBorder="1" applyAlignment="1">
      <alignment horizontal="center" vertical="center" wrapText="1"/>
    </xf>
    <xf numFmtId="0" fontId="26" fillId="11" borderId="12" xfId="0" applyFont="1" applyFill="1" applyBorder="1" applyAlignment="1">
      <alignment horizontal="center" vertical="center" wrapText="1"/>
    </xf>
    <xf numFmtId="0" fontId="28" fillId="12" borderId="11" xfId="0" applyFont="1" applyFill="1" applyBorder="1" applyAlignment="1">
      <alignment horizontal="center" vertical="center" wrapText="1"/>
    </xf>
    <xf numFmtId="0" fontId="28" fillId="12" borderId="4" xfId="0" applyFont="1" applyFill="1" applyBorder="1" applyAlignment="1">
      <alignment horizontal="center" vertical="center" wrapText="1"/>
    </xf>
    <xf numFmtId="0" fontId="28" fillId="12" borderId="12" xfId="0" applyFont="1" applyFill="1" applyBorder="1" applyAlignment="1">
      <alignment horizontal="center" vertical="center" wrapText="1"/>
    </xf>
    <xf numFmtId="0" fontId="29" fillId="13" borderId="9" xfId="0" applyFont="1" applyFill="1" applyBorder="1" applyAlignment="1">
      <alignment horizontal="left" vertical="center" wrapText="1"/>
    </xf>
    <xf numFmtId="0" fontId="29" fillId="13" borderId="0" xfId="0" applyFont="1" applyFill="1" applyAlignment="1">
      <alignment horizontal="left" vertical="center" wrapText="1"/>
    </xf>
    <xf numFmtId="0" fontId="29" fillId="13" borderId="10" xfId="0" applyFont="1" applyFill="1" applyBorder="1" applyAlignment="1">
      <alignment horizontal="left" vertical="center" wrapText="1"/>
    </xf>
    <xf numFmtId="0" fontId="4" fillId="14" borderId="13" xfId="0" applyFont="1" applyFill="1" applyBorder="1" applyAlignment="1">
      <alignment horizontal="left" vertical="center" wrapText="1"/>
    </xf>
    <xf numFmtId="0" fontId="4" fillId="14" borderId="5" xfId="0" applyFont="1" applyFill="1" applyBorder="1" applyAlignment="1">
      <alignment horizontal="left" vertical="center" wrapText="1"/>
    </xf>
    <xf numFmtId="0" fontId="4" fillId="14" borderId="14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6400"/>
      <rgbColor rgb="FF000080"/>
      <rgbColor rgb="FFB8860B"/>
      <rgbColor rgb="FF7B1FA2"/>
      <rgbColor rgb="FF00838F"/>
      <rgbColor rgb="FFCCCCCC"/>
      <rgbColor rgb="FF878787"/>
      <rgbColor rgb="FF888888"/>
      <rgbColor rgb="FFD32F2F"/>
      <rgbColor rgb="FFFFF9C4"/>
      <rgbColor rgb="FFEEEEEE"/>
      <rgbColor rgb="FF660066"/>
      <rgbColor rgb="FFE65100"/>
      <rgbColor rgb="FF1565C0"/>
      <rgbColor rgb="FFD9D9D9"/>
      <rgbColor rgb="FF000080"/>
      <rgbColor rgb="FFFF00FF"/>
      <rgbColor rgb="FFFAFAFA"/>
      <rgbColor rgb="FF00FFFF"/>
      <rgbColor rgb="FF800080"/>
      <rgbColor rgb="FF800000"/>
      <rgbColor rgb="FF008080"/>
      <rgbColor rgb="FF0000FF"/>
      <rgbColor rgb="FF00CCFF"/>
      <rgbColor rgb="FFF5F5F5"/>
      <rgbColor rgb="FFC8E6C9"/>
      <rgbColor rgb="FFFFFDE7"/>
      <rgbColor rgb="FFDDDDDD"/>
      <rgbColor rgb="FFE8E8E8"/>
      <rgbColor rgb="FFF9F9F9"/>
      <rgbColor rgb="FFFFCDD2"/>
      <rgbColor rgb="FF3366FF"/>
      <rgbColor rgb="FF33CCCC"/>
      <rgbColor rgb="FF99CC00"/>
      <rgbColor rgb="FFFFCC00"/>
      <rgbColor rgb="FFF57C00"/>
      <rgbColor rgb="FFFF6D00"/>
      <rgbColor rgb="FF666666"/>
      <rgbColor rgb="FF999999"/>
      <rgbColor rgb="FF17375E"/>
      <rgbColor rgb="FF388E3C"/>
      <rgbColor rgb="FF003300"/>
      <rgbColor rgb="FF1B5E20"/>
      <rgbColor rgb="FF7F5000"/>
      <rgbColor rgb="FF606060"/>
      <rgbColor rgb="FF1F3864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Macro Drivers vs Real Retail Growth (Annual Avg, 2018–2026)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466688950322705E-2"/>
          <c:y val="0.13496615648835683"/>
          <c:w val="0.75395703441440998"/>
          <c:h val="0.78097969389301414"/>
        </c:manualLayout>
      </c:layout>
      <c:lineChart>
        <c:grouping val="standard"/>
        <c:varyColors val="0"/>
        <c:ser>
          <c:idx val="0"/>
          <c:order val="0"/>
          <c:tx>
            <c:strRef>
              <c:f>Dashboard!$B$200</c:f>
              <c:strCache>
                <c:ptCount val="1"/>
                <c:pt idx="0">
                  <c:v>CPI YoY%</c:v>
                </c:pt>
              </c:strCache>
            </c:strRef>
          </c:tx>
          <c:spPr>
            <a:ln w="24840">
              <a:solidFill>
                <a:srgbClr val="D32F2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Dashboard!$A$201:$A$209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Dashboard!$B$201:$B$209</c:f>
              <c:numCache>
                <c:formatCode>General</c:formatCode>
                <c:ptCount val="9"/>
                <c:pt idx="0">
                  <c:v>2.5</c:v>
                </c:pt>
                <c:pt idx="1">
                  <c:v>1.8</c:v>
                </c:pt>
                <c:pt idx="2">
                  <c:v>0.8</c:v>
                </c:pt>
                <c:pt idx="3">
                  <c:v>2.6</c:v>
                </c:pt>
                <c:pt idx="4">
                  <c:v>9</c:v>
                </c:pt>
                <c:pt idx="5">
                  <c:v>7.4</c:v>
                </c:pt>
                <c:pt idx="6">
                  <c:v>2.5</c:v>
                </c:pt>
                <c:pt idx="7">
                  <c:v>3.4</c:v>
                </c:pt>
                <c:pt idx="8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E0-4B79-A72B-26AB403961FE}"/>
            </c:ext>
          </c:extLst>
        </c:ser>
        <c:ser>
          <c:idx val="1"/>
          <c:order val="1"/>
          <c:tx>
            <c:strRef>
              <c:f>Dashboard!$C$200</c:f>
              <c:strCache>
                <c:ptCount val="1"/>
                <c:pt idx="0">
                  <c:v>BoE Rate%</c:v>
                </c:pt>
              </c:strCache>
            </c:strRef>
          </c:tx>
          <c:spPr>
            <a:ln w="24840">
              <a:solidFill>
                <a:srgbClr val="7B1FA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Dashboard!$A$201:$A$209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Dashboard!$C$201:$C$209</c:f>
              <c:numCache>
                <c:formatCode>General</c:formatCode>
                <c:ptCount val="9"/>
                <c:pt idx="0">
                  <c:v>0.57999999999999996</c:v>
                </c:pt>
                <c:pt idx="1">
                  <c:v>0.75</c:v>
                </c:pt>
                <c:pt idx="2">
                  <c:v>0.26</c:v>
                </c:pt>
                <c:pt idx="3">
                  <c:v>0.1</c:v>
                </c:pt>
                <c:pt idx="4">
                  <c:v>1.27</c:v>
                </c:pt>
                <c:pt idx="5">
                  <c:v>4.58</c:v>
                </c:pt>
                <c:pt idx="6">
                  <c:v>5.12</c:v>
                </c:pt>
                <c:pt idx="7">
                  <c:v>4.3099999999999996</c:v>
                </c:pt>
                <c:pt idx="8">
                  <c:v>3.75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3E0-4B79-A72B-26AB403961FE}"/>
            </c:ext>
          </c:extLst>
        </c:ser>
        <c:ser>
          <c:idx val="2"/>
          <c:order val="2"/>
          <c:tx>
            <c:strRef>
              <c:f>Dashboard!$D$200</c:f>
              <c:strCache>
                <c:ptCount val="1"/>
                <c:pt idx="0">
                  <c:v>Real RSI%</c:v>
                </c:pt>
              </c:strCache>
            </c:strRef>
          </c:tx>
          <c:spPr>
            <a:ln w="24840">
              <a:solidFill>
                <a:srgbClr val="388E3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Dashboard!$A$201:$A$209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Dashboard!$D$201:$D$209</c:f>
              <c:numCache>
                <c:formatCode>General</c:formatCode>
                <c:ptCount val="9"/>
                <c:pt idx="0">
                  <c:v>1.9</c:v>
                </c:pt>
                <c:pt idx="1">
                  <c:v>2</c:v>
                </c:pt>
                <c:pt idx="2">
                  <c:v>-3.3</c:v>
                </c:pt>
                <c:pt idx="3">
                  <c:v>6.7</c:v>
                </c:pt>
                <c:pt idx="4">
                  <c:v>-2.2000000000000002</c:v>
                </c:pt>
                <c:pt idx="5">
                  <c:v>-4.3</c:v>
                </c:pt>
                <c:pt idx="6">
                  <c:v>-1.4</c:v>
                </c:pt>
                <c:pt idx="7">
                  <c:v>-1</c:v>
                </c:pt>
                <c:pt idx="8">
                  <c:v>1.1000000000000001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3E0-4B79-A72B-26AB403961FE}"/>
            </c:ext>
          </c:extLst>
        </c:ser>
        <c:ser>
          <c:idx val="3"/>
          <c:order val="3"/>
          <c:tx>
            <c:strRef>
              <c:f>Dashboard!$E$200</c:f>
              <c:strCache>
                <c:ptCount val="1"/>
                <c:pt idx="0">
                  <c:v>AWE YoY%</c:v>
                </c:pt>
              </c:strCache>
            </c:strRef>
          </c:tx>
          <c:spPr>
            <a:ln w="20160">
              <a:solidFill>
                <a:srgbClr val="1565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Dashboard!$A$201:$A$209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Dashboard!$E$201:$E$209</c:f>
              <c:numCache>
                <c:formatCode>General</c:formatCode>
                <c:ptCount val="9"/>
                <c:pt idx="0">
                  <c:v>2.9</c:v>
                </c:pt>
                <c:pt idx="1">
                  <c:v>3.4</c:v>
                </c:pt>
                <c:pt idx="2">
                  <c:v>1.8</c:v>
                </c:pt>
                <c:pt idx="3">
                  <c:v>6</c:v>
                </c:pt>
                <c:pt idx="4">
                  <c:v>6.2</c:v>
                </c:pt>
                <c:pt idx="5">
                  <c:v>7.1</c:v>
                </c:pt>
                <c:pt idx="6">
                  <c:v>5.3</c:v>
                </c:pt>
                <c:pt idx="7">
                  <c:v>4.8</c:v>
                </c:pt>
                <c:pt idx="8">
                  <c:v>4.0999999999999996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3E0-4B79-A72B-26AB403961F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035549"/>
        <c:axId val="80373542"/>
      </c:lineChart>
      <c:catAx>
        <c:axId val="60355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AS"/>
          </a:p>
        </c:txPr>
        <c:crossAx val="80373542"/>
        <c:crosses val="autoZero"/>
        <c:auto val="1"/>
        <c:lblAlgn val="ctr"/>
        <c:lblOffset val="100"/>
        <c:noMultiLvlLbl val="0"/>
      </c:catAx>
      <c:valAx>
        <c:axId val="8037354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Rate / Growth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AS"/>
          </a:p>
        </c:txPr>
        <c:crossAx val="60355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A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Retail Volume Index by Sector (2023=100)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Dashboard!$B$211</c:f>
              <c:strCache>
                <c:ptCount val="1"/>
                <c:pt idx="0">
                  <c:v>All Retail</c:v>
                </c:pt>
              </c:strCache>
            </c:strRef>
          </c:tx>
          <c:spPr>
            <a:solidFill>
              <a:srgbClr val="1565C0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numRef>
              <c:f>Dashboard!$A$212:$A$220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Dashboard!$B$212:$B$220</c:f>
              <c:numCache>
                <c:formatCode>General</c:formatCode>
                <c:ptCount val="9"/>
                <c:pt idx="0">
                  <c:v>100.8</c:v>
                </c:pt>
                <c:pt idx="1">
                  <c:v>103.9</c:v>
                </c:pt>
                <c:pt idx="2">
                  <c:v>102.4</c:v>
                </c:pt>
                <c:pt idx="3">
                  <c:v>107.5</c:v>
                </c:pt>
                <c:pt idx="4">
                  <c:v>103.3</c:v>
                </c:pt>
                <c:pt idx="5">
                  <c:v>100.1</c:v>
                </c:pt>
                <c:pt idx="6">
                  <c:v>100.2</c:v>
                </c:pt>
                <c:pt idx="7">
                  <c:v>101.5</c:v>
                </c:pt>
                <c:pt idx="8">
                  <c:v>102.9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2-4412-8D25-4BFB1CE26DEC}"/>
            </c:ext>
          </c:extLst>
        </c:ser>
        <c:ser>
          <c:idx val="1"/>
          <c:order val="1"/>
          <c:tx>
            <c:strRef>
              <c:f>Dashboard!$C$211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rgbClr val="D32F2F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numRef>
              <c:f>Dashboard!$A$212:$A$220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Dashboard!$C$212:$C$220</c:f>
              <c:numCache>
                <c:formatCode>General</c:formatCode>
                <c:ptCount val="9"/>
                <c:pt idx="0">
                  <c:v>103.3</c:v>
                </c:pt>
                <c:pt idx="1">
                  <c:v>104.6</c:v>
                </c:pt>
                <c:pt idx="2">
                  <c:v>109.5</c:v>
                </c:pt>
                <c:pt idx="3">
                  <c:v>109.9</c:v>
                </c:pt>
                <c:pt idx="4">
                  <c:v>103.4</c:v>
                </c:pt>
                <c:pt idx="5">
                  <c:v>100.1</c:v>
                </c:pt>
                <c:pt idx="6">
                  <c:v>98.5</c:v>
                </c:pt>
                <c:pt idx="7">
                  <c:v>99</c:v>
                </c:pt>
                <c:pt idx="8">
                  <c:v>98.9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72-4412-8D25-4BFB1CE26DEC}"/>
            </c:ext>
          </c:extLst>
        </c:ser>
        <c:ser>
          <c:idx val="2"/>
          <c:order val="2"/>
          <c:tx>
            <c:strRef>
              <c:f>Dashboard!$D$211</c:f>
              <c:strCache>
                <c:ptCount val="1"/>
                <c:pt idx="0">
                  <c:v>Non-Food</c:v>
                </c:pt>
              </c:strCache>
            </c:strRef>
          </c:tx>
          <c:spPr>
            <a:solidFill>
              <a:srgbClr val="388E3C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numRef>
              <c:f>Dashboard!$A$212:$A$220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Dashboard!$D$212:$D$220</c:f>
              <c:numCache>
                <c:formatCode>General</c:formatCode>
                <c:ptCount val="9"/>
                <c:pt idx="0">
                  <c:v>104.1</c:v>
                </c:pt>
                <c:pt idx="1">
                  <c:v>105.4</c:v>
                </c:pt>
                <c:pt idx="2">
                  <c:v>92.9</c:v>
                </c:pt>
                <c:pt idx="3">
                  <c:v>101.9</c:v>
                </c:pt>
                <c:pt idx="4">
                  <c:v>103.1</c:v>
                </c:pt>
                <c:pt idx="5">
                  <c:v>100.1</c:v>
                </c:pt>
                <c:pt idx="6">
                  <c:v>100.7</c:v>
                </c:pt>
                <c:pt idx="7">
                  <c:v>102.9</c:v>
                </c:pt>
                <c:pt idx="8">
                  <c:v>105.8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72-4412-8D25-4BFB1CE26DEC}"/>
            </c:ext>
          </c:extLst>
        </c:ser>
        <c:ser>
          <c:idx val="3"/>
          <c:order val="3"/>
          <c:tx>
            <c:strRef>
              <c:f>Dashboard!$E$211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F57C00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numRef>
              <c:f>Dashboard!$A$212:$A$220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Dashboard!$E$212:$E$220</c:f>
              <c:numCache>
                <c:formatCode>General</c:formatCode>
                <c:ptCount val="9"/>
                <c:pt idx="0">
                  <c:v>100.5</c:v>
                </c:pt>
                <c:pt idx="1">
                  <c:v>103</c:v>
                </c:pt>
                <c:pt idx="2">
                  <c:v>76.400000000000006</c:v>
                </c:pt>
                <c:pt idx="3">
                  <c:v>88.3</c:v>
                </c:pt>
                <c:pt idx="4">
                  <c:v>99.5</c:v>
                </c:pt>
                <c:pt idx="5">
                  <c:v>100.1</c:v>
                </c:pt>
                <c:pt idx="6">
                  <c:v>96</c:v>
                </c:pt>
                <c:pt idx="7">
                  <c:v>98.4</c:v>
                </c:pt>
                <c:pt idx="8">
                  <c:v>100.1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72-4412-8D25-4BFB1CE26DEC}"/>
            </c:ext>
          </c:extLst>
        </c:ser>
        <c:ser>
          <c:idx val="4"/>
          <c:order val="4"/>
          <c:tx>
            <c:strRef>
              <c:f>Dashboard!$F$211</c:f>
              <c:strCache>
                <c:ptCount val="1"/>
                <c:pt idx="0">
                  <c:v>HH Goods</c:v>
                </c:pt>
              </c:strCache>
            </c:strRef>
          </c:tx>
          <c:spPr>
            <a:solidFill>
              <a:srgbClr val="7B1FA2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numRef>
              <c:f>Dashboard!$A$212:$A$220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Dashboard!$F$212:$F$220</c:f>
              <c:numCache>
                <c:formatCode>General</c:formatCode>
                <c:ptCount val="9"/>
                <c:pt idx="0">
                  <c:v>114.3</c:v>
                </c:pt>
                <c:pt idx="1">
                  <c:v>111</c:v>
                </c:pt>
                <c:pt idx="2">
                  <c:v>110.3</c:v>
                </c:pt>
                <c:pt idx="3">
                  <c:v>117.8</c:v>
                </c:pt>
                <c:pt idx="4">
                  <c:v>105.6</c:v>
                </c:pt>
                <c:pt idx="5">
                  <c:v>100</c:v>
                </c:pt>
                <c:pt idx="6">
                  <c:v>96.5</c:v>
                </c:pt>
                <c:pt idx="7">
                  <c:v>99.9</c:v>
                </c:pt>
                <c:pt idx="8">
                  <c:v>101.3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72-4412-8D25-4BFB1CE26DEC}"/>
            </c:ext>
          </c:extLst>
        </c:ser>
        <c:ser>
          <c:idx val="5"/>
          <c:order val="5"/>
          <c:tx>
            <c:strRef>
              <c:f>Dashboard!$G$211</c:f>
              <c:strCache>
                <c:ptCount val="1"/>
                <c:pt idx="0">
                  <c:v>Non-Store</c:v>
                </c:pt>
              </c:strCache>
            </c:strRef>
          </c:tx>
          <c:spPr>
            <a:solidFill>
              <a:srgbClr val="00838F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numRef>
              <c:f>Dashboard!$A$212:$A$220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Dashboard!$G$212:$G$220</c:f>
              <c:numCache>
                <c:formatCode>General</c:formatCode>
                <c:ptCount val="9"/>
                <c:pt idx="0">
                  <c:v>78.3</c:v>
                </c:pt>
                <c:pt idx="1">
                  <c:v>89.5</c:v>
                </c:pt>
                <c:pt idx="2">
                  <c:v>119.8</c:v>
                </c:pt>
                <c:pt idx="3">
                  <c:v>121.6</c:v>
                </c:pt>
                <c:pt idx="4">
                  <c:v>103.3</c:v>
                </c:pt>
                <c:pt idx="5">
                  <c:v>100.1</c:v>
                </c:pt>
                <c:pt idx="6">
                  <c:v>102.2</c:v>
                </c:pt>
                <c:pt idx="7">
                  <c:v>106.1</c:v>
                </c:pt>
                <c:pt idx="8">
                  <c:v>110.9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72-4412-8D25-4BFB1CE26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869415"/>
        <c:axId val="40731911"/>
      </c:barChart>
      <c:catAx>
        <c:axId val="798694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AS"/>
          </a:p>
        </c:txPr>
        <c:crossAx val="40731911"/>
        <c:crosses val="autoZero"/>
        <c:auto val="1"/>
        <c:lblAlgn val="ctr"/>
        <c:lblOffset val="100"/>
        <c:noMultiLvlLbl val="0"/>
      </c:catAx>
      <c:valAx>
        <c:axId val="4073191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Volume 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AS"/>
          </a:p>
        </c:txPr>
        <c:crossAx val="798694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A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Monthly: BoE Rate vs Nominal &amp; Real RSI Growth (2018–2026)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Dashboard!$B$222</c:f>
              <c:strCache>
                <c:ptCount val="1"/>
                <c:pt idx="0">
                  <c:v>BoE Rate%</c:v>
                </c:pt>
              </c:strCache>
            </c:strRef>
          </c:tx>
          <c:spPr>
            <a:ln w="24840">
              <a:solidFill>
                <a:srgbClr val="7B1FA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A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Dashboard!$A$223:$A$322</c:f>
              <c:strCache>
                <c:ptCount val="100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  <c:pt idx="84">
                  <c:v>2025-01</c:v>
                </c:pt>
                <c:pt idx="85">
                  <c:v>2025-02</c:v>
                </c:pt>
                <c:pt idx="86">
                  <c:v>2025-03</c:v>
                </c:pt>
                <c:pt idx="87">
                  <c:v>2025-04</c:v>
                </c:pt>
                <c:pt idx="88">
                  <c:v>2025-05</c:v>
                </c:pt>
                <c:pt idx="89">
                  <c:v>2025-06</c:v>
                </c:pt>
                <c:pt idx="90">
                  <c:v>2025-07</c:v>
                </c:pt>
                <c:pt idx="91">
                  <c:v>2025-08</c:v>
                </c:pt>
                <c:pt idx="92">
                  <c:v>2025-09</c:v>
                </c:pt>
                <c:pt idx="93">
                  <c:v>2025-10</c:v>
                </c:pt>
                <c:pt idx="94">
                  <c:v>2025-11</c:v>
                </c:pt>
                <c:pt idx="95">
                  <c:v>2025-12</c:v>
                </c:pt>
                <c:pt idx="96">
                  <c:v>2026-01</c:v>
                </c:pt>
                <c:pt idx="97">
                  <c:v>2026-02</c:v>
                </c:pt>
                <c:pt idx="98">
                  <c:v>2026-03</c:v>
                </c:pt>
                <c:pt idx="99">
                  <c:v>2026-04</c:v>
                </c:pt>
              </c:strCache>
            </c:strRef>
          </c:cat>
          <c:val>
            <c:numRef>
              <c:f>Dashboard!$B$223:$B$322</c:f>
              <c:numCache>
                <c:formatCode>General</c:formatCode>
                <c:ptCount val="10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0.75</c:v>
                </c:pt>
                <c:pt idx="25">
                  <c:v>0.75</c:v>
                </c:pt>
                <c:pt idx="26">
                  <c:v>0.75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0.25</c:v>
                </c:pt>
                <c:pt idx="49">
                  <c:v>0.25</c:v>
                </c:pt>
                <c:pt idx="50">
                  <c:v>0.5</c:v>
                </c:pt>
                <c:pt idx="51">
                  <c:v>0.75</c:v>
                </c:pt>
                <c:pt idx="52">
                  <c:v>0.75</c:v>
                </c:pt>
                <c:pt idx="53">
                  <c:v>1</c:v>
                </c:pt>
                <c:pt idx="54">
                  <c:v>1.25</c:v>
                </c:pt>
                <c:pt idx="55">
                  <c:v>1.25</c:v>
                </c:pt>
                <c:pt idx="56">
                  <c:v>1.75</c:v>
                </c:pt>
                <c:pt idx="57">
                  <c:v>2.25</c:v>
                </c:pt>
                <c:pt idx="58">
                  <c:v>2.25</c:v>
                </c:pt>
                <c:pt idx="59">
                  <c:v>3</c:v>
                </c:pt>
                <c:pt idx="60">
                  <c:v>3.5</c:v>
                </c:pt>
                <c:pt idx="61">
                  <c:v>3.5</c:v>
                </c:pt>
                <c:pt idx="62">
                  <c:v>4</c:v>
                </c:pt>
                <c:pt idx="63">
                  <c:v>4.25</c:v>
                </c:pt>
                <c:pt idx="64">
                  <c:v>4.25</c:v>
                </c:pt>
                <c:pt idx="65">
                  <c:v>4.5</c:v>
                </c:pt>
                <c:pt idx="66">
                  <c:v>5</c:v>
                </c:pt>
                <c:pt idx="67">
                  <c:v>5</c:v>
                </c:pt>
                <c:pt idx="68">
                  <c:v>5.25</c:v>
                </c:pt>
                <c:pt idx="69">
                  <c:v>5.25</c:v>
                </c:pt>
                <c:pt idx="70">
                  <c:v>5.25</c:v>
                </c:pt>
                <c:pt idx="71">
                  <c:v>5.25</c:v>
                </c:pt>
                <c:pt idx="72">
                  <c:v>5.25</c:v>
                </c:pt>
                <c:pt idx="73">
                  <c:v>5.25</c:v>
                </c:pt>
                <c:pt idx="74">
                  <c:v>5.25</c:v>
                </c:pt>
                <c:pt idx="75">
                  <c:v>5.25</c:v>
                </c:pt>
                <c:pt idx="76">
                  <c:v>5.25</c:v>
                </c:pt>
                <c:pt idx="77">
                  <c:v>5.25</c:v>
                </c:pt>
                <c:pt idx="78">
                  <c:v>5.25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4.75</c:v>
                </c:pt>
                <c:pt idx="84">
                  <c:v>4.75</c:v>
                </c:pt>
                <c:pt idx="85">
                  <c:v>4.75</c:v>
                </c:pt>
                <c:pt idx="86">
                  <c:v>4.5</c:v>
                </c:pt>
                <c:pt idx="87">
                  <c:v>4.5</c:v>
                </c:pt>
                <c:pt idx="88">
                  <c:v>4.5</c:v>
                </c:pt>
                <c:pt idx="89">
                  <c:v>4.25</c:v>
                </c:pt>
                <c:pt idx="90">
                  <c:v>4.25</c:v>
                </c:pt>
                <c:pt idx="91">
                  <c:v>4.25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3.75</c:v>
                </c:pt>
                <c:pt idx="97">
                  <c:v>3.75</c:v>
                </c:pt>
                <c:pt idx="98">
                  <c:v>3.75</c:v>
                </c:pt>
                <c:pt idx="99">
                  <c:v>3.75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96-40FC-B0F9-18A0AABF57D8}"/>
            </c:ext>
          </c:extLst>
        </c:ser>
        <c:ser>
          <c:idx val="1"/>
          <c:order val="1"/>
          <c:tx>
            <c:strRef>
              <c:f>Dashboard!$C$222</c:f>
              <c:strCache>
                <c:ptCount val="1"/>
                <c:pt idx="0">
                  <c:v>RSI Nom YoY%</c:v>
                </c:pt>
              </c:strCache>
            </c:strRef>
          </c:tx>
          <c:spPr>
            <a:ln w="18000">
              <a:solidFill>
                <a:srgbClr val="FF6D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A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Dashboard!$A$223:$A$322</c:f>
              <c:strCache>
                <c:ptCount val="100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  <c:pt idx="84">
                  <c:v>2025-01</c:v>
                </c:pt>
                <c:pt idx="85">
                  <c:v>2025-02</c:v>
                </c:pt>
                <c:pt idx="86">
                  <c:v>2025-03</c:v>
                </c:pt>
                <c:pt idx="87">
                  <c:v>2025-04</c:v>
                </c:pt>
                <c:pt idx="88">
                  <c:v>2025-05</c:v>
                </c:pt>
                <c:pt idx="89">
                  <c:v>2025-06</c:v>
                </c:pt>
                <c:pt idx="90">
                  <c:v>2025-07</c:v>
                </c:pt>
                <c:pt idx="91">
                  <c:v>2025-08</c:v>
                </c:pt>
                <c:pt idx="92">
                  <c:v>2025-09</c:v>
                </c:pt>
                <c:pt idx="93">
                  <c:v>2025-10</c:v>
                </c:pt>
                <c:pt idx="94">
                  <c:v>2025-11</c:v>
                </c:pt>
                <c:pt idx="95">
                  <c:v>2025-12</c:v>
                </c:pt>
                <c:pt idx="96">
                  <c:v>2026-01</c:v>
                </c:pt>
                <c:pt idx="97">
                  <c:v>2026-02</c:v>
                </c:pt>
                <c:pt idx="98">
                  <c:v>2026-03</c:v>
                </c:pt>
                <c:pt idx="99">
                  <c:v>2026-04</c:v>
                </c:pt>
              </c:strCache>
            </c:strRef>
          </c:cat>
          <c:val>
            <c:numRef>
              <c:f>Dashboard!$C$223:$C$322</c:f>
              <c:numCache>
                <c:formatCode>General</c:formatCode>
                <c:ptCount val="100"/>
                <c:pt idx="0">
                  <c:v>4.5999999999999996</c:v>
                </c:pt>
                <c:pt idx="1">
                  <c:v>4.2</c:v>
                </c:pt>
                <c:pt idx="2">
                  <c:v>2.6</c:v>
                </c:pt>
                <c:pt idx="3">
                  <c:v>2.7</c:v>
                </c:pt>
                <c:pt idx="4">
                  <c:v>6.4</c:v>
                </c:pt>
                <c:pt idx="5">
                  <c:v>5.0999999999999996</c:v>
                </c:pt>
                <c:pt idx="6">
                  <c:v>5.9</c:v>
                </c:pt>
                <c:pt idx="7">
                  <c:v>5.2</c:v>
                </c:pt>
                <c:pt idx="8">
                  <c:v>4.5999999999999996</c:v>
                </c:pt>
                <c:pt idx="9">
                  <c:v>3.7</c:v>
                </c:pt>
                <c:pt idx="10">
                  <c:v>4.4000000000000004</c:v>
                </c:pt>
                <c:pt idx="11">
                  <c:v>3.7</c:v>
                </c:pt>
                <c:pt idx="12">
                  <c:v>4.3</c:v>
                </c:pt>
                <c:pt idx="13">
                  <c:v>4.4000000000000004</c:v>
                </c:pt>
                <c:pt idx="14">
                  <c:v>7.1</c:v>
                </c:pt>
                <c:pt idx="15">
                  <c:v>4.9000000000000004</c:v>
                </c:pt>
                <c:pt idx="16">
                  <c:v>2.2999999999999998</c:v>
                </c:pt>
                <c:pt idx="17">
                  <c:v>4.0999999999999996</c:v>
                </c:pt>
                <c:pt idx="18">
                  <c:v>4.4000000000000004</c:v>
                </c:pt>
                <c:pt idx="19">
                  <c:v>3.1</c:v>
                </c:pt>
                <c:pt idx="20">
                  <c:v>3.2</c:v>
                </c:pt>
                <c:pt idx="21">
                  <c:v>3.1</c:v>
                </c:pt>
                <c:pt idx="22">
                  <c:v>1.4</c:v>
                </c:pt>
                <c:pt idx="23">
                  <c:v>2.7</c:v>
                </c:pt>
                <c:pt idx="24">
                  <c:v>3</c:v>
                </c:pt>
                <c:pt idx="25">
                  <c:v>1.4</c:v>
                </c:pt>
                <c:pt idx="26">
                  <c:v>-6.6</c:v>
                </c:pt>
                <c:pt idx="27">
                  <c:v>-24</c:v>
                </c:pt>
                <c:pt idx="28">
                  <c:v>-13.5</c:v>
                </c:pt>
                <c:pt idx="29">
                  <c:v>-3.8</c:v>
                </c:pt>
                <c:pt idx="30">
                  <c:v>0.4</c:v>
                </c:pt>
                <c:pt idx="31">
                  <c:v>2.2000000000000002</c:v>
                </c:pt>
                <c:pt idx="32">
                  <c:v>3.8</c:v>
                </c:pt>
                <c:pt idx="33">
                  <c:v>5.7</c:v>
                </c:pt>
                <c:pt idx="34">
                  <c:v>0.6</c:v>
                </c:pt>
                <c:pt idx="35">
                  <c:v>1.2</c:v>
                </c:pt>
                <c:pt idx="36">
                  <c:v>-6.1</c:v>
                </c:pt>
                <c:pt idx="37">
                  <c:v>-4.3</c:v>
                </c:pt>
                <c:pt idx="38">
                  <c:v>7</c:v>
                </c:pt>
                <c:pt idx="39">
                  <c:v>43.4</c:v>
                </c:pt>
                <c:pt idx="40">
                  <c:v>25.2</c:v>
                </c:pt>
                <c:pt idx="41">
                  <c:v>12.8</c:v>
                </c:pt>
                <c:pt idx="42">
                  <c:v>5</c:v>
                </c:pt>
                <c:pt idx="43">
                  <c:v>4.3</c:v>
                </c:pt>
                <c:pt idx="44">
                  <c:v>3.2</c:v>
                </c:pt>
                <c:pt idx="45">
                  <c:v>2.6</c:v>
                </c:pt>
                <c:pt idx="46">
                  <c:v>9.4</c:v>
                </c:pt>
                <c:pt idx="47">
                  <c:v>8.4</c:v>
                </c:pt>
                <c:pt idx="48">
                  <c:v>16.399999999999999</c:v>
                </c:pt>
                <c:pt idx="49">
                  <c:v>15.1</c:v>
                </c:pt>
                <c:pt idx="50">
                  <c:v>11.8</c:v>
                </c:pt>
                <c:pt idx="51">
                  <c:v>2.8</c:v>
                </c:pt>
                <c:pt idx="52">
                  <c:v>3.9</c:v>
                </c:pt>
                <c:pt idx="53">
                  <c:v>3.9</c:v>
                </c:pt>
                <c:pt idx="54">
                  <c:v>7.6</c:v>
                </c:pt>
                <c:pt idx="55">
                  <c:v>4.7</c:v>
                </c:pt>
                <c:pt idx="56">
                  <c:v>3.8</c:v>
                </c:pt>
                <c:pt idx="57">
                  <c:v>5.2</c:v>
                </c:pt>
                <c:pt idx="58">
                  <c:v>3.7</c:v>
                </c:pt>
                <c:pt idx="59">
                  <c:v>2.9</c:v>
                </c:pt>
                <c:pt idx="60">
                  <c:v>3.4</c:v>
                </c:pt>
                <c:pt idx="61">
                  <c:v>4.9000000000000004</c:v>
                </c:pt>
                <c:pt idx="62">
                  <c:v>2.8</c:v>
                </c:pt>
                <c:pt idx="63">
                  <c:v>4.7</c:v>
                </c:pt>
                <c:pt idx="64">
                  <c:v>4.3</c:v>
                </c:pt>
                <c:pt idx="65">
                  <c:v>3.3</c:v>
                </c:pt>
                <c:pt idx="66">
                  <c:v>0.7</c:v>
                </c:pt>
                <c:pt idx="67">
                  <c:v>3.6</c:v>
                </c:pt>
                <c:pt idx="68">
                  <c:v>3.8</c:v>
                </c:pt>
                <c:pt idx="69">
                  <c:v>2.4</c:v>
                </c:pt>
                <c:pt idx="70">
                  <c:v>3.9</c:v>
                </c:pt>
                <c:pt idx="71">
                  <c:v>-0.2</c:v>
                </c:pt>
                <c:pt idx="72">
                  <c:v>2.7</c:v>
                </c:pt>
                <c:pt idx="73">
                  <c:v>1.6</c:v>
                </c:pt>
                <c:pt idx="74">
                  <c:v>2.1</c:v>
                </c:pt>
                <c:pt idx="75">
                  <c:v>-1</c:v>
                </c:pt>
                <c:pt idx="76">
                  <c:v>2.2000000000000002</c:v>
                </c:pt>
                <c:pt idx="77">
                  <c:v>-0.3</c:v>
                </c:pt>
                <c:pt idx="78">
                  <c:v>1.6</c:v>
                </c:pt>
                <c:pt idx="79">
                  <c:v>1.1000000000000001</c:v>
                </c:pt>
                <c:pt idx="80">
                  <c:v>1.2</c:v>
                </c:pt>
                <c:pt idx="81">
                  <c:v>-0.3</c:v>
                </c:pt>
                <c:pt idx="82">
                  <c:v>-1.1000000000000001</c:v>
                </c:pt>
                <c:pt idx="83">
                  <c:v>3.4</c:v>
                </c:pt>
                <c:pt idx="84">
                  <c:v>-0.1</c:v>
                </c:pt>
                <c:pt idx="85">
                  <c:v>1.7</c:v>
                </c:pt>
                <c:pt idx="86">
                  <c:v>2.6</c:v>
                </c:pt>
                <c:pt idx="87">
                  <c:v>3.4</c:v>
                </c:pt>
                <c:pt idx="88">
                  <c:v>-0.6</c:v>
                </c:pt>
                <c:pt idx="89">
                  <c:v>2</c:v>
                </c:pt>
                <c:pt idx="90">
                  <c:v>2.8</c:v>
                </c:pt>
                <c:pt idx="91">
                  <c:v>2.2999999999999998</c:v>
                </c:pt>
                <c:pt idx="92">
                  <c:v>3.7</c:v>
                </c:pt>
                <c:pt idx="93">
                  <c:v>4</c:v>
                </c:pt>
                <c:pt idx="94">
                  <c:v>3.4</c:v>
                </c:pt>
                <c:pt idx="95">
                  <c:v>3.3</c:v>
                </c:pt>
                <c:pt idx="96">
                  <c:v>5.5</c:v>
                </c:pt>
                <c:pt idx="97">
                  <c:v>2.5</c:v>
                </c:pt>
                <c:pt idx="98">
                  <c:v>4.0999999999999996</c:v>
                </c:pt>
                <c:pt idx="99">
                  <c:v>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96-40FC-B0F9-18A0AABF57D8}"/>
            </c:ext>
          </c:extLst>
        </c:ser>
        <c:ser>
          <c:idx val="2"/>
          <c:order val="2"/>
          <c:tx>
            <c:strRef>
              <c:f>Dashboard!$D$222</c:f>
              <c:strCache>
                <c:ptCount val="1"/>
                <c:pt idx="0">
                  <c:v>Real RSI%</c:v>
                </c:pt>
              </c:strCache>
            </c:strRef>
          </c:tx>
          <c:spPr>
            <a:ln w="24840">
              <a:solidFill>
                <a:srgbClr val="388E3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A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Dashboard!$A$223:$A$322</c:f>
              <c:strCache>
                <c:ptCount val="100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  <c:pt idx="84">
                  <c:v>2025-01</c:v>
                </c:pt>
                <c:pt idx="85">
                  <c:v>2025-02</c:v>
                </c:pt>
                <c:pt idx="86">
                  <c:v>2025-03</c:v>
                </c:pt>
                <c:pt idx="87">
                  <c:v>2025-04</c:v>
                </c:pt>
                <c:pt idx="88">
                  <c:v>2025-05</c:v>
                </c:pt>
                <c:pt idx="89">
                  <c:v>2025-06</c:v>
                </c:pt>
                <c:pt idx="90">
                  <c:v>2025-07</c:v>
                </c:pt>
                <c:pt idx="91">
                  <c:v>2025-08</c:v>
                </c:pt>
                <c:pt idx="92">
                  <c:v>2025-09</c:v>
                </c:pt>
                <c:pt idx="93">
                  <c:v>2025-10</c:v>
                </c:pt>
                <c:pt idx="94">
                  <c:v>2025-11</c:v>
                </c:pt>
                <c:pt idx="95">
                  <c:v>2025-12</c:v>
                </c:pt>
                <c:pt idx="96">
                  <c:v>2026-01</c:v>
                </c:pt>
                <c:pt idx="97">
                  <c:v>2026-02</c:v>
                </c:pt>
                <c:pt idx="98">
                  <c:v>2026-03</c:v>
                </c:pt>
                <c:pt idx="99">
                  <c:v>2026-04</c:v>
                </c:pt>
              </c:strCache>
            </c:strRef>
          </c:cat>
          <c:val>
            <c:numRef>
              <c:f>Dashboard!$D$223:$D$322</c:f>
              <c:numCache>
                <c:formatCode>General</c:formatCode>
                <c:ptCount val="100"/>
                <c:pt idx="0">
                  <c:v>1.6</c:v>
                </c:pt>
                <c:pt idx="1">
                  <c:v>1.5</c:v>
                </c:pt>
                <c:pt idx="2">
                  <c:v>0.1</c:v>
                </c:pt>
                <c:pt idx="3">
                  <c:v>0.3</c:v>
                </c:pt>
                <c:pt idx="4">
                  <c:v>4</c:v>
                </c:pt>
                <c:pt idx="5">
                  <c:v>2.7</c:v>
                </c:pt>
                <c:pt idx="6">
                  <c:v>3.4</c:v>
                </c:pt>
                <c:pt idx="7">
                  <c:v>2.5</c:v>
                </c:pt>
                <c:pt idx="8">
                  <c:v>2.2000000000000002</c:v>
                </c:pt>
                <c:pt idx="9">
                  <c:v>1.3</c:v>
                </c:pt>
                <c:pt idx="10">
                  <c:v>2.1</c:v>
                </c:pt>
                <c:pt idx="11">
                  <c:v>1.6</c:v>
                </c:pt>
                <c:pt idx="12">
                  <c:v>2.5</c:v>
                </c:pt>
                <c:pt idx="13">
                  <c:v>2.5</c:v>
                </c:pt>
                <c:pt idx="14">
                  <c:v>5.2</c:v>
                </c:pt>
                <c:pt idx="15">
                  <c:v>2.8</c:v>
                </c:pt>
                <c:pt idx="16">
                  <c:v>0.3</c:v>
                </c:pt>
                <c:pt idx="17">
                  <c:v>2.1</c:v>
                </c:pt>
                <c:pt idx="18">
                  <c:v>2.2999999999999998</c:v>
                </c:pt>
                <c:pt idx="19">
                  <c:v>1.4</c:v>
                </c:pt>
                <c:pt idx="20">
                  <c:v>1.5</c:v>
                </c:pt>
                <c:pt idx="21">
                  <c:v>1.6</c:v>
                </c:pt>
                <c:pt idx="22">
                  <c:v>-0.1</c:v>
                </c:pt>
                <c:pt idx="23">
                  <c:v>1.4</c:v>
                </c:pt>
                <c:pt idx="24">
                  <c:v>1.2</c:v>
                </c:pt>
                <c:pt idx="25">
                  <c:v>-0.3</c:v>
                </c:pt>
                <c:pt idx="26">
                  <c:v>-8.1</c:v>
                </c:pt>
                <c:pt idx="27">
                  <c:v>-24.8</c:v>
                </c:pt>
                <c:pt idx="28">
                  <c:v>-14</c:v>
                </c:pt>
                <c:pt idx="29">
                  <c:v>-4.4000000000000004</c:v>
                </c:pt>
                <c:pt idx="30">
                  <c:v>-0.6</c:v>
                </c:pt>
                <c:pt idx="31">
                  <c:v>2</c:v>
                </c:pt>
                <c:pt idx="32">
                  <c:v>3.3</c:v>
                </c:pt>
                <c:pt idx="33">
                  <c:v>5</c:v>
                </c:pt>
                <c:pt idx="34">
                  <c:v>0.3</c:v>
                </c:pt>
                <c:pt idx="35">
                  <c:v>0.6</c:v>
                </c:pt>
                <c:pt idx="36">
                  <c:v>-6.8</c:v>
                </c:pt>
                <c:pt idx="37">
                  <c:v>-4.7</c:v>
                </c:pt>
                <c:pt idx="38">
                  <c:v>6.3</c:v>
                </c:pt>
                <c:pt idx="39">
                  <c:v>41.9</c:v>
                </c:pt>
                <c:pt idx="40">
                  <c:v>23.1</c:v>
                </c:pt>
                <c:pt idx="41">
                  <c:v>10.3</c:v>
                </c:pt>
                <c:pt idx="42">
                  <c:v>3</c:v>
                </c:pt>
                <c:pt idx="43">
                  <c:v>1.1000000000000001</c:v>
                </c:pt>
                <c:pt idx="44">
                  <c:v>0.1</c:v>
                </c:pt>
                <c:pt idx="45">
                  <c:v>-1.6</c:v>
                </c:pt>
                <c:pt idx="46">
                  <c:v>4.3</c:v>
                </c:pt>
                <c:pt idx="47">
                  <c:v>3</c:v>
                </c:pt>
                <c:pt idx="48">
                  <c:v>10.9</c:v>
                </c:pt>
                <c:pt idx="49">
                  <c:v>8.9</c:v>
                </c:pt>
                <c:pt idx="50">
                  <c:v>4.8</c:v>
                </c:pt>
                <c:pt idx="51">
                  <c:v>-6.2</c:v>
                </c:pt>
                <c:pt idx="52">
                  <c:v>-5.2</c:v>
                </c:pt>
                <c:pt idx="53">
                  <c:v>-5.5</c:v>
                </c:pt>
                <c:pt idx="54">
                  <c:v>-2.5</c:v>
                </c:pt>
                <c:pt idx="55">
                  <c:v>-5.2</c:v>
                </c:pt>
                <c:pt idx="56">
                  <c:v>-6.3</c:v>
                </c:pt>
                <c:pt idx="57">
                  <c:v>-5.9</c:v>
                </c:pt>
                <c:pt idx="58">
                  <c:v>-7</c:v>
                </c:pt>
                <c:pt idx="59">
                  <c:v>-7.6</c:v>
                </c:pt>
                <c:pt idx="60">
                  <c:v>-6.7</c:v>
                </c:pt>
                <c:pt idx="61">
                  <c:v>-5.5</c:v>
                </c:pt>
                <c:pt idx="62">
                  <c:v>-7.3</c:v>
                </c:pt>
                <c:pt idx="63">
                  <c:v>-4</c:v>
                </c:pt>
                <c:pt idx="64">
                  <c:v>-4.4000000000000004</c:v>
                </c:pt>
                <c:pt idx="65">
                  <c:v>-4.5999999999999996</c:v>
                </c:pt>
                <c:pt idx="66">
                  <c:v>-6.1</c:v>
                </c:pt>
                <c:pt idx="67">
                  <c:v>-3.1</c:v>
                </c:pt>
                <c:pt idx="68">
                  <c:v>-2.9</c:v>
                </c:pt>
                <c:pt idx="69">
                  <c:v>-2.2000000000000002</c:v>
                </c:pt>
                <c:pt idx="70">
                  <c:v>0</c:v>
                </c:pt>
                <c:pt idx="71">
                  <c:v>-4.2</c:v>
                </c:pt>
                <c:pt idx="72">
                  <c:v>-1.3</c:v>
                </c:pt>
                <c:pt idx="73">
                  <c:v>-1.8</c:v>
                </c:pt>
                <c:pt idx="74">
                  <c:v>-1.1000000000000001</c:v>
                </c:pt>
                <c:pt idx="75">
                  <c:v>-3.3</c:v>
                </c:pt>
                <c:pt idx="76">
                  <c:v>0.2</c:v>
                </c:pt>
                <c:pt idx="77">
                  <c:v>-2.2999999999999998</c:v>
                </c:pt>
                <c:pt idx="78">
                  <c:v>-0.6</c:v>
                </c:pt>
                <c:pt idx="79">
                  <c:v>-1.1000000000000001</c:v>
                </c:pt>
                <c:pt idx="80">
                  <c:v>-0.5</c:v>
                </c:pt>
                <c:pt idx="81">
                  <c:v>-2.6</c:v>
                </c:pt>
                <c:pt idx="82">
                  <c:v>-3.7</c:v>
                </c:pt>
                <c:pt idx="83">
                  <c:v>0.9</c:v>
                </c:pt>
                <c:pt idx="84">
                  <c:v>-3.1</c:v>
                </c:pt>
                <c:pt idx="85">
                  <c:v>-1.1000000000000001</c:v>
                </c:pt>
                <c:pt idx="86">
                  <c:v>0</c:v>
                </c:pt>
                <c:pt idx="87">
                  <c:v>-0.1</c:v>
                </c:pt>
                <c:pt idx="88">
                  <c:v>-4</c:v>
                </c:pt>
                <c:pt idx="89">
                  <c:v>-1.6</c:v>
                </c:pt>
                <c:pt idx="90">
                  <c:v>-1</c:v>
                </c:pt>
                <c:pt idx="91">
                  <c:v>-1.5</c:v>
                </c:pt>
                <c:pt idx="92">
                  <c:v>-0.1</c:v>
                </c:pt>
                <c:pt idx="93">
                  <c:v>0.4</c:v>
                </c:pt>
                <c:pt idx="94">
                  <c:v>0.2</c:v>
                </c:pt>
                <c:pt idx="95">
                  <c:v>-0.1</c:v>
                </c:pt>
                <c:pt idx="96">
                  <c:v>2.5</c:v>
                </c:pt>
                <c:pt idx="97">
                  <c:v>-0.5</c:v>
                </c:pt>
                <c:pt idx="98">
                  <c:v>0.8</c:v>
                </c:pt>
                <c:pt idx="99">
                  <c:v>1.7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E96-40FC-B0F9-18A0AABF5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5126950"/>
        <c:axId val="81197220"/>
      </c:lineChart>
      <c:catAx>
        <c:axId val="551269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AS"/>
          </a:p>
        </c:txPr>
        <c:crossAx val="81197220"/>
        <c:crosses val="autoZero"/>
        <c:auto val="1"/>
        <c:lblAlgn val="ctr"/>
        <c:lblOffset val="100"/>
        <c:noMultiLvlLbl val="0"/>
      </c:catAx>
      <c:valAx>
        <c:axId val="8119722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Change /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AS"/>
          </a:p>
        </c:txPr>
        <c:crossAx val="551269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A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Purchasing Power Index vs CPI &amp; Wages (Jan 2018=100 base)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Dashboard!$B$324</c:f>
              <c:strCache>
                <c:ptCount val="1"/>
                <c:pt idx="0">
                  <c:v>Purch Power Idx</c:v>
                </c:pt>
              </c:strCache>
            </c:strRef>
          </c:tx>
          <c:spPr>
            <a:ln w="28080">
              <a:solidFill>
                <a:srgbClr val="1565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A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Dashboard!$A$325:$A$424</c:f>
              <c:strCache>
                <c:ptCount val="100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  <c:pt idx="84">
                  <c:v>2025-01</c:v>
                </c:pt>
                <c:pt idx="85">
                  <c:v>2025-02</c:v>
                </c:pt>
                <c:pt idx="86">
                  <c:v>2025-03</c:v>
                </c:pt>
                <c:pt idx="87">
                  <c:v>2025-04</c:v>
                </c:pt>
                <c:pt idx="88">
                  <c:v>2025-05</c:v>
                </c:pt>
                <c:pt idx="89">
                  <c:v>2025-06</c:v>
                </c:pt>
                <c:pt idx="90">
                  <c:v>2025-07</c:v>
                </c:pt>
                <c:pt idx="91">
                  <c:v>2025-08</c:v>
                </c:pt>
                <c:pt idx="92">
                  <c:v>2025-09</c:v>
                </c:pt>
                <c:pt idx="93">
                  <c:v>2025-10</c:v>
                </c:pt>
                <c:pt idx="94">
                  <c:v>2025-11</c:v>
                </c:pt>
                <c:pt idx="95">
                  <c:v>2025-12</c:v>
                </c:pt>
                <c:pt idx="96">
                  <c:v>2026-01</c:v>
                </c:pt>
                <c:pt idx="97">
                  <c:v>2026-02</c:v>
                </c:pt>
                <c:pt idx="98">
                  <c:v>2026-03</c:v>
                </c:pt>
                <c:pt idx="99">
                  <c:v>2026-04</c:v>
                </c:pt>
              </c:strCache>
            </c:strRef>
          </c:cat>
          <c:val>
            <c:numRef>
              <c:f>Dashboard!$B$325:$B$424</c:f>
              <c:numCache>
                <c:formatCode>General</c:formatCode>
                <c:ptCount val="100"/>
                <c:pt idx="0">
                  <c:v>100</c:v>
                </c:pt>
                <c:pt idx="1">
                  <c:v>100</c:v>
                </c:pt>
                <c:pt idx="2">
                  <c:v>99.99</c:v>
                </c:pt>
                <c:pt idx="3">
                  <c:v>100.01</c:v>
                </c:pt>
                <c:pt idx="4">
                  <c:v>100.03</c:v>
                </c:pt>
                <c:pt idx="5">
                  <c:v>100.01</c:v>
                </c:pt>
                <c:pt idx="6">
                  <c:v>100.07</c:v>
                </c:pt>
                <c:pt idx="7">
                  <c:v>100.12</c:v>
                </c:pt>
                <c:pt idx="8">
                  <c:v>100.15</c:v>
                </c:pt>
                <c:pt idx="9">
                  <c:v>100.31</c:v>
                </c:pt>
                <c:pt idx="10">
                  <c:v>100.38</c:v>
                </c:pt>
                <c:pt idx="11">
                  <c:v>100.47</c:v>
                </c:pt>
                <c:pt idx="12">
                  <c:v>100.64</c:v>
                </c:pt>
                <c:pt idx="13">
                  <c:v>100.78</c:v>
                </c:pt>
                <c:pt idx="14">
                  <c:v>100.82</c:v>
                </c:pt>
                <c:pt idx="15">
                  <c:v>100.95</c:v>
                </c:pt>
                <c:pt idx="16">
                  <c:v>101.13</c:v>
                </c:pt>
                <c:pt idx="17">
                  <c:v>101.29</c:v>
                </c:pt>
                <c:pt idx="18">
                  <c:v>101.46</c:v>
                </c:pt>
                <c:pt idx="19">
                  <c:v>101.6</c:v>
                </c:pt>
                <c:pt idx="20">
                  <c:v>101.79</c:v>
                </c:pt>
                <c:pt idx="21">
                  <c:v>101.87</c:v>
                </c:pt>
                <c:pt idx="22">
                  <c:v>102.01</c:v>
                </c:pt>
                <c:pt idx="23">
                  <c:v>102.12</c:v>
                </c:pt>
                <c:pt idx="24">
                  <c:v>102.23</c:v>
                </c:pt>
                <c:pt idx="25">
                  <c:v>102.33</c:v>
                </c:pt>
                <c:pt idx="26">
                  <c:v>102.27</c:v>
                </c:pt>
                <c:pt idx="27">
                  <c:v>102.12</c:v>
                </c:pt>
                <c:pt idx="28">
                  <c:v>101.99</c:v>
                </c:pt>
                <c:pt idx="29">
                  <c:v>101.81</c:v>
                </c:pt>
                <c:pt idx="30">
                  <c:v>101.72</c:v>
                </c:pt>
                <c:pt idx="31">
                  <c:v>101.87</c:v>
                </c:pt>
                <c:pt idx="32">
                  <c:v>102.05</c:v>
                </c:pt>
                <c:pt idx="33">
                  <c:v>102.31</c:v>
                </c:pt>
                <c:pt idx="34">
                  <c:v>102.69</c:v>
                </c:pt>
                <c:pt idx="35">
                  <c:v>103.09</c:v>
                </c:pt>
                <c:pt idx="36">
                  <c:v>103.4</c:v>
                </c:pt>
                <c:pt idx="37">
                  <c:v>103.71</c:v>
                </c:pt>
                <c:pt idx="38">
                  <c:v>104.01</c:v>
                </c:pt>
                <c:pt idx="39">
                  <c:v>104.65</c:v>
                </c:pt>
                <c:pt idx="40">
                  <c:v>105.28</c:v>
                </c:pt>
                <c:pt idx="41">
                  <c:v>105.82</c:v>
                </c:pt>
                <c:pt idx="42">
                  <c:v>106.28</c:v>
                </c:pt>
                <c:pt idx="43">
                  <c:v>106.51</c:v>
                </c:pt>
                <c:pt idx="44">
                  <c:v>106.66</c:v>
                </c:pt>
                <c:pt idx="45">
                  <c:v>106.7</c:v>
                </c:pt>
                <c:pt idx="46">
                  <c:v>106.58</c:v>
                </c:pt>
                <c:pt idx="47">
                  <c:v>106.66</c:v>
                </c:pt>
                <c:pt idx="48">
                  <c:v>106.66</c:v>
                </c:pt>
                <c:pt idx="49">
                  <c:v>106.64</c:v>
                </c:pt>
                <c:pt idx="50">
                  <c:v>106.94</c:v>
                </c:pt>
                <c:pt idx="51">
                  <c:v>106.6</c:v>
                </c:pt>
                <c:pt idx="52">
                  <c:v>106.17</c:v>
                </c:pt>
                <c:pt idx="53">
                  <c:v>105.89</c:v>
                </c:pt>
                <c:pt idx="54">
                  <c:v>105.52</c:v>
                </c:pt>
                <c:pt idx="55">
                  <c:v>105.19</c:v>
                </c:pt>
                <c:pt idx="56">
                  <c:v>104.82</c:v>
                </c:pt>
                <c:pt idx="57">
                  <c:v>104.42</c:v>
                </c:pt>
                <c:pt idx="58">
                  <c:v>104.13</c:v>
                </c:pt>
                <c:pt idx="59">
                  <c:v>103.64</c:v>
                </c:pt>
                <c:pt idx="60">
                  <c:v>103.3</c:v>
                </c:pt>
                <c:pt idx="61">
                  <c:v>102.99</c:v>
                </c:pt>
                <c:pt idx="62">
                  <c:v>102.63</c:v>
                </c:pt>
                <c:pt idx="63">
                  <c:v>102.54</c:v>
                </c:pt>
                <c:pt idx="64">
                  <c:v>102.48</c:v>
                </c:pt>
                <c:pt idx="65">
                  <c:v>102.59</c:v>
                </c:pt>
                <c:pt idx="66">
                  <c:v>102.7</c:v>
                </c:pt>
                <c:pt idx="67">
                  <c:v>102.75</c:v>
                </c:pt>
                <c:pt idx="68">
                  <c:v>102.87</c:v>
                </c:pt>
                <c:pt idx="69">
                  <c:v>102.99</c:v>
                </c:pt>
                <c:pt idx="70">
                  <c:v>103.15</c:v>
                </c:pt>
                <c:pt idx="71">
                  <c:v>103.3</c:v>
                </c:pt>
                <c:pt idx="72">
                  <c:v>103.44</c:v>
                </c:pt>
                <c:pt idx="73">
                  <c:v>103.64</c:v>
                </c:pt>
                <c:pt idx="74">
                  <c:v>103.9</c:v>
                </c:pt>
                <c:pt idx="75">
                  <c:v>104.18</c:v>
                </c:pt>
                <c:pt idx="76">
                  <c:v>104.48</c:v>
                </c:pt>
                <c:pt idx="77">
                  <c:v>104.59</c:v>
                </c:pt>
                <c:pt idx="78">
                  <c:v>104.78</c:v>
                </c:pt>
                <c:pt idx="79">
                  <c:v>105.01</c:v>
                </c:pt>
                <c:pt idx="80">
                  <c:v>105.31</c:v>
                </c:pt>
                <c:pt idx="81">
                  <c:v>105.64</c:v>
                </c:pt>
                <c:pt idx="82">
                  <c:v>105.9</c:v>
                </c:pt>
                <c:pt idx="83">
                  <c:v>106.22</c:v>
                </c:pt>
                <c:pt idx="84">
                  <c:v>106.41</c:v>
                </c:pt>
                <c:pt idx="85">
                  <c:v>106.67</c:v>
                </c:pt>
                <c:pt idx="86">
                  <c:v>106.93</c:v>
                </c:pt>
                <c:pt idx="87">
                  <c:v>107.02</c:v>
                </c:pt>
                <c:pt idx="88">
                  <c:v>107.13</c:v>
                </c:pt>
                <c:pt idx="89">
                  <c:v>107.23</c:v>
                </c:pt>
                <c:pt idx="90">
                  <c:v>107.34</c:v>
                </c:pt>
                <c:pt idx="91">
                  <c:v>107.47</c:v>
                </c:pt>
                <c:pt idx="92">
                  <c:v>107.52</c:v>
                </c:pt>
                <c:pt idx="93">
                  <c:v>107.63</c:v>
                </c:pt>
                <c:pt idx="94">
                  <c:v>107.76</c:v>
                </c:pt>
                <c:pt idx="95">
                  <c:v>107.73</c:v>
                </c:pt>
                <c:pt idx="96">
                  <c:v>107.88</c:v>
                </c:pt>
                <c:pt idx="97">
                  <c:v>107.96</c:v>
                </c:pt>
                <c:pt idx="98">
                  <c:v>108</c:v>
                </c:pt>
                <c:pt idx="99">
                  <c:v>107.75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90-4964-8E46-8BD72BAE0001}"/>
            </c:ext>
          </c:extLst>
        </c:ser>
        <c:ser>
          <c:idx val="1"/>
          <c:order val="1"/>
          <c:tx>
            <c:strRef>
              <c:f>Dashboard!$C$324</c:f>
              <c:strCache>
                <c:ptCount val="1"/>
                <c:pt idx="0">
                  <c:v>CPI YoY%</c:v>
                </c:pt>
              </c:strCache>
            </c:strRef>
          </c:tx>
          <c:spPr>
            <a:ln w="18000">
              <a:solidFill>
                <a:srgbClr val="D32F2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A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Dashboard!$A$325:$A$424</c:f>
              <c:strCache>
                <c:ptCount val="100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  <c:pt idx="84">
                  <c:v>2025-01</c:v>
                </c:pt>
                <c:pt idx="85">
                  <c:v>2025-02</c:v>
                </c:pt>
                <c:pt idx="86">
                  <c:v>2025-03</c:v>
                </c:pt>
                <c:pt idx="87">
                  <c:v>2025-04</c:v>
                </c:pt>
                <c:pt idx="88">
                  <c:v>2025-05</c:v>
                </c:pt>
                <c:pt idx="89">
                  <c:v>2025-06</c:v>
                </c:pt>
                <c:pt idx="90">
                  <c:v>2025-07</c:v>
                </c:pt>
                <c:pt idx="91">
                  <c:v>2025-08</c:v>
                </c:pt>
                <c:pt idx="92">
                  <c:v>2025-09</c:v>
                </c:pt>
                <c:pt idx="93">
                  <c:v>2025-10</c:v>
                </c:pt>
                <c:pt idx="94">
                  <c:v>2025-11</c:v>
                </c:pt>
                <c:pt idx="95">
                  <c:v>2025-12</c:v>
                </c:pt>
                <c:pt idx="96">
                  <c:v>2026-01</c:v>
                </c:pt>
                <c:pt idx="97">
                  <c:v>2026-02</c:v>
                </c:pt>
                <c:pt idx="98">
                  <c:v>2026-03</c:v>
                </c:pt>
                <c:pt idx="99">
                  <c:v>2026-04</c:v>
                </c:pt>
              </c:strCache>
            </c:strRef>
          </c:cat>
          <c:val>
            <c:numRef>
              <c:f>Dashboard!$C$325:$C$424</c:f>
              <c:numCache>
                <c:formatCode>General</c:formatCode>
                <c:ptCount val="100"/>
                <c:pt idx="0">
                  <c:v>3</c:v>
                </c:pt>
                <c:pt idx="1">
                  <c:v>2.7</c:v>
                </c:pt>
                <c:pt idx="2">
                  <c:v>2.5</c:v>
                </c:pt>
                <c:pt idx="3">
                  <c:v>2.4</c:v>
                </c:pt>
                <c:pt idx="4">
                  <c:v>2.4</c:v>
                </c:pt>
                <c:pt idx="5">
                  <c:v>2.4</c:v>
                </c:pt>
                <c:pt idx="6">
                  <c:v>2.5</c:v>
                </c:pt>
                <c:pt idx="7">
                  <c:v>2.7</c:v>
                </c:pt>
                <c:pt idx="8">
                  <c:v>2.4</c:v>
                </c:pt>
                <c:pt idx="9">
                  <c:v>2.4</c:v>
                </c:pt>
                <c:pt idx="10">
                  <c:v>2.2999999999999998</c:v>
                </c:pt>
                <c:pt idx="11">
                  <c:v>2.1</c:v>
                </c:pt>
                <c:pt idx="12">
                  <c:v>1.8</c:v>
                </c:pt>
                <c:pt idx="13">
                  <c:v>1.9</c:v>
                </c:pt>
                <c:pt idx="14">
                  <c:v>1.9</c:v>
                </c:pt>
                <c:pt idx="15">
                  <c:v>2.1</c:v>
                </c:pt>
                <c:pt idx="16">
                  <c:v>2</c:v>
                </c:pt>
                <c:pt idx="17">
                  <c:v>2</c:v>
                </c:pt>
                <c:pt idx="18">
                  <c:v>2.1</c:v>
                </c:pt>
                <c:pt idx="19">
                  <c:v>1.7</c:v>
                </c:pt>
                <c:pt idx="20">
                  <c:v>1.7</c:v>
                </c:pt>
                <c:pt idx="21">
                  <c:v>1.5</c:v>
                </c:pt>
                <c:pt idx="22">
                  <c:v>1.5</c:v>
                </c:pt>
                <c:pt idx="23">
                  <c:v>1.3</c:v>
                </c:pt>
                <c:pt idx="24">
                  <c:v>1.8</c:v>
                </c:pt>
                <c:pt idx="25">
                  <c:v>1.7</c:v>
                </c:pt>
                <c:pt idx="26">
                  <c:v>1.5</c:v>
                </c:pt>
                <c:pt idx="27">
                  <c:v>0.8</c:v>
                </c:pt>
                <c:pt idx="28">
                  <c:v>0.5</c:v>
                </c:pt>
                <c:pt idx="29">
                  <c:v>0.6</c:v>
                </c:pt>
                <c:pt idx="30">
                  <c:v>1</c:v>
                </c:pt>
                <c:pt idx="31">
                  <c:v>0.2</c:v>
                </c:pt>
                <c:pt idx="32">
                  <c:v>0.5</c:v>
                </c:pt>
                <c:pt idx="33">
                  <c:v>0.7</c:v>
                </c:pt>
                <c:pt idx="34">
                  <c:v>0.3</c:v>
                </c:pt>
                <c:pt idx="35">
                  <c:v>0.6</c:v>
                </c:pt>
                <c:pt idx="36">
                  <c:v>0.7</c:v>
                </c:pt>
                <c:pt idx="37">
                  <c:v>0.4</c:v>
                </c:pt>
                <c:pt idx="38">
                  <c:v>0.7</c:v>
                </c:pt>
                <c:pt idx="39">
                  <c:v>1.5</c:v>
                </c:pt>
                <c:pt idx="40">
                  <c:v>2.1</c:v>
                </c:pt>
                <c:pt idx="41">
                  <c:v>2.5</c:v>
                </c:pt>
                <c:pt idx="42">
                  <c:v>2</c:v>
                </c:pt>
                <c:pt idx="43">
                  <c:v>3.2</c:v>
                </c:pt>
                <c:pt idx="44">
                  <c:v>3.1</c:v>
                </c:pt>
                <c:pt idx="45">
                  <c:v>4.2</c:v>
                </c:pt>
                <c:pt idx="46">
                  <c:v>5.0999999999999996</c:v>
                </c:pt>
                <c:pt idx="47">
                  <c:v>5.4</c:v>
                </c:pt>
                <c:pt idx="48">
                  <c:v>5.5</c:v>
                </c:pt>
                <c:pt idx="49">
                  <c:v>6.2</c:v>
                </c:pt>
                <c:pt idx="50">
                  <c:v>7</c:v>
                </c:pt>
                <c:pt idx="51">
                  <c:v>9</c:v>
                </c:pt>
                <c:pt idx="52">
                  <c:v>9.1</c:v>
                </c:pt>
                <c:pt idx="53">
                  <c:v>9.4</c:v>
                </c:pt>
                <c:pt idx="54">
                  <c:v>10.1</c:v>
                </c:pt>
                <c:pt idx="55">
                  <c:v>9.9</c:v>
                </c:pt>
                <c:pt idx="56">
                  <c:v>10.1</c:v>
                </c:pt>
                <c:pt idx="57">
                  <c:v>11.1</c:v>
                </c:pt>
                <c:pt idx="58">
                  <c:v>10.7</c:v>
                </c:pt>
                <c:pt idx="59">
                  <c:v>10.5</c:v>
                </c:pt>
                <c:pt idx="60">
                  <c:v>10.1</c:v>
                </c:pt>
                <c:pt idx="61">
                  <c:v>10.4</c:v>
                </c:pt>
                <c:pt idx="62">
                  <c:v>10.1</c:v>
                </c:pt>
                <c:pt idx="63">
                  <c:v>8.6999999999999993</c:v>
                </c:pt>
                <c:pt idx="64">
                  <c:v>8.6999999999999993</c:v>
                </c:pt>
                <c:pt idx="65">
                  <c:v>7.9</c:v>
                </c:pt>
                <c:pt idx="66">
                  <c:v>6.8</c:v>
                </c:pt>
                <c:pt idx="67">
                  <c:v>6.7</c:v>
                </c:pt>
                <c:pt idx="68">
                  <c:v>6.7</c:v>
                </c:pt>
                <c:pt idx="69">
                  <c:v>4.5999999999999996</c:v>
                </c:pt>
                <c:pt idx="70">
                  <c:v>3.9</c:v>
                </c:pt>
                <c:pt idx="71">
                  <c:v>4</c:v>
                </c:pt>
                <c:pt idx="72">
                  <c:v>4</c:v>
                </c:pt>
                <c:pt idx="73">
                  <c:v>3.4</c:v>
                </c:pt>
                <c:pt idx="74">
                  <c:v>3.2</c:v>
                </c:pt>
                <c:pt idx="75">
                  <c:v>2.2999999999999998</c:v>
                </c:pt>
                <c:pt idx="76">
                  <c:v>2</c:v>
                </c:pt>
                <c:pt idx="77">
                  <c:v>2</c:v>
                </c:pt>
                <c:pt idx="78">
                  <c:v>2.2000000000000002</c:v>
                </c:pt>
                <c:pt idx="79">
                  <c:v>2.2000000000000002</c:v>
                </c:pt>
                <c:pt idx="80">
                  <c:v>1.7</c:v>
                </c:pt>
                <c:pt idx="81">
                  <c:v>2.2999999999999998</c:v>
                </c:pt>
                <c:pt idx="82">
                  <c:v>2.6</c:v>
                </c:pt>
                <c:pt idx="83">
                  <c:v>2.5</c:v>
                </c:pt>
                <c:pt idx="84">
                  <c:v>3</c:v>
                </c:pt>
                <c:pt idx="85">
                  <c:v>2.8</c:v>
                </c:pt>
                <c:pt idx="86">
                  <c:v>2.6</c:v>
                </c:pt>
                <c:pt idx="87">
                  <c:v>3.5</c:v>
                </c:pt>
                <c:pt idx="88">
                  <c:v>3.4</c:v>
                </c:pt>
                <c:pt idx="89">
                  <c:v>3.6</c:v>
                </c:pt>
                <c:pt idx="90">
                  <c:v>3.8</c:v>
                </c:pt>
                <c:pt idx="91">
                  <c:v>3.8</c:v>
                </c:pt>
                <c:pt idx="92">
                  <c:v>3.8</c:v>
                </c:pt>
                <c:pt idx="93">
                  <c:v>3.6</c:v>
                </c:pt>
                <c:pt idx="94">
                  <c:v>3.2</c:v>
                </c:pt>
                <c:pt idx="95">
                  <c:v>3.4</c:v>
                </c:pt>
                <c:pt idx="96">
                  <c:v>3</c:v>
                </c:pt>
                <c:pt idx="97">
                  <c:v>3</c:v>
                </c:pt>
                <c:pt idx="98">
                  <c:v>3.3</c:v>
                </c:pt>
                <c:pt idx="99">
                  <c:v>2.8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C90-4964-8E46-8BD72BAE0001}"/>
            </c:ext>
          </c:extLst>
        </c:ser>
        <c:ser>
          <c:idx val="2"/>
          <c:order val="2"/>
          <c:tx>
            <c:strRef>
              <c:f>Dashboard!$D$324</c:f>
              <c:strCache>
                <c:ptCount val="1"/>
                <c:pt idx="0">
                  <c:v>AWE YoY%</c:v>
                </c:pt>
              </c:strCache>
            </c:strRef>
          </c:tx>
          <c:spPr>
            <a:ln w="18000">
              <a:solidFill>
                <a:srgbClr val="1B5E2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A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Dashboard!$A$325:$A$424</c:f>
              <c:strCache>
                <c:ptCount val="100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  <c:pt idx="84">
                  <c:v>2025-01</c:v>
                </c:pt>
                <c:pt idx="85">
                  <c:v>2025-02</c:v>
                </c:pt>
                <c:pt idx="86">
                  <c:v>2025-03</c:v>
                </c:pt>
                <c:pt idx="87">
                  <c:v>2025-04</c:v>
                </c:pt>
                <c:pt idx="88">
                  <c:v>2025-05</c:v>
                </c:pt>
                <c:pt idx="89">
                  <c:v>2025-06</c:v>
                </c:pt>
                <c:pt idx="90">
                  <c:v>2025-07</c:v>
                </c:pt>
                <c:pt idx="91">
                  <c:v>2025-08</c:v>
                </c:pt>
                <c:pt idx="92">
                  <c:v>2025-09</c:v>
                </c:pt>
                <c:pt idx="93">
                  <c:v>2025-10</c:v>
                </c:pt>
                <c:pt idx="94">
                  <c:v>2025-11</c:v>
                </c:pt>
                <c:pt idx="95">
                  <c:v>2025-12</c:v>
                </c:pt>
                <c:pt idx="96">
                  <c:v>2026-01</c:v>
                </c:pt>
                <c:pt idx="97">
                  <c:v>2026-02</c:v>
                </c:pt>
                <c:pt idx="98">
                  <c:v>2026-03</c:v>
                </c:pt>
                <c:pt idx="99">
                  <c:v>2026-04</c:v>
                </c:pt>
              </c:strCache>
            </c:strRef>
          </c:cat>
          <c:val>
            <c:numRef>
              <c:f>Dashboard!$D$325:$D$424</c:f>
              <c:numCache>
                <c:formatCode>General</c:formatCode>
                <c:ptCount val="100"/>
                <c:pt idx="0">
                  <c:v>2.6</c:v>
                </c:pt>
                <c:pt idx="1">
                  <c:v>2.7</c:v>
                </c:pt>
                <c:pt idx="2">
                  <c:v>2.4</c:v>
                </c:pt>
                <c:pt idx="3">
                  <c:v>2.7</c:v>
                </c:pt>
                <c:pt idx="4">
                  <c:v>2.6</c:v>
                </c:pt>
                <c:pt idx="5">
                  <c:v>2.1</c:v>
                </c:pt>
                <c:pt idx="6">
                  <c:v>3.3</c:v>
                </c:pt>
                <c:pt idx="7">
                  <c:v>3.2</c:v>
                </c:pt>
                <c:pt idx="8">
                  <c:v>2.8</c:v>
                </c:pt>
                <c:pt idx="9">
                  <c:v>4.2</c:v>
                </c:pt>
                <c:pt idx="10">
                  <c:v>3.1</c:v>
                </c:pt>
                <c:pt idx="11">
                  <c:v>3.2</c:v>
                </c:pt>
                <c:pt idx="12">
                  <c:v>3.8</c:v>
                </c:pt>
                <c:pt idx="13">
                  <c:v>3.7</c:v>
                </c:pt>
                <c:pt idx="14">
                  <c:v>2.2999999999999998</c:v>
                </c:pt>
                <c:pt idx="15">
                  <c:v>3.7</c:v>
                </c:pt>
                <c:pt idx="16">
                  <c:v>4.0999999999999996</c:v>
                </c:pt>
                <c:pt idx="17">
                  <c:v>4</c:v>
                </c:pt>
                <c:pt idx="18">
                  <c:v>4</c:v>
                </c:pt>
                <c:pt idx="19">
                  <c:v>3.4</c:v>
                </c:pt>
                <c:pt idx="20">
                  <c:v>4</c:v>
                </c:pt>
                <c:pt idx="21">
                  <c:v>2.4</c:v>
                </c:pt>
                <c:pt idx="22">
                  <c:v>3.2</c:v>
                </c:pt>
                <c:pt idx="23">
                  <c:v>2.6</c:v>
                </c:pt>
                <c:pt idx="24">
                  <c:v>3.1</c:v>
                </c:pt>
                <c:pt idx="25">
                  <c:v>2.8</c:v>
                </c:pt>
                <c:pt idx="26">
                  <c:v>0.7</c:v>
                </c:pt>
                <c:pt idx="27">
                  <c:v>-0.9</c:v>
                </c:pt>
                <c:pt idx="28">
                  <c:v>-1</c:v>
                </c:pt>
                <c:pt idx="29">
                  <c:v>-1.5</c:v>
                </c:pt>
                <c:pt idx="30">
                  <c:v>-0.1</c:v>
                </c:pt>
                <c:pt idx="31">
                  <c:v>2</c:v>
                </c:pt>
                <c:pt idx="32">
                  <c:v>2.6</c:v>
                </c:pt>
                <c:pt idx="33">
                  <c:v>3.7</c:v>
                </c:pt>
                <c:pt idx="34">
                  <c:v>4.7</c:v>
                </c:pt>
                <c:pt idx="35">
                  <c:v>5.3</c:v>
                </c:pt>
                <c:pt idx="36">
                  <c:v>4.4000000000000004</c:v>
                </c:pt>
                <c:pt idx="37">
                  <c:v>4</c:v>
                </c:pt>
                <c:pt idx="38">
                  <c:v>4.2</c:v>
                </c:pt>
                <c:pt idx="39">
                  <c:v>8.8000000000000007</c:v>
                </c:pt>
                <c:pt idx="40">
                  <c:v>9.3000000000000007</c:v>
                </c:pt>
                <c:pt idx="41">
                  <c:v>8.6</c:v>
                </c:pt>
                <c:pt idx="42">
                  <c:v>7.3</c:v>
                </c:pt>
                <c:pt idx="43">
                  <c:v>5.8</c:v>
                </c:pt>
                <c:pt idx="44">
                  <c:v>4.8</c:v>
                </c:pt>
                <c:pt idx="45">
                  <c:v>4.5999999999999996</c:v>
                </c:pt>
                <c:pt idx="46">
                  <c:v>3.8</c:v>
                </c:pt>
                <c:pt idx="47">
                  <c:v>6.2</c:v>
                </c:pt>
                <c:pt idx="48">
                  <c:v>5.5</c:v>
                </c:pt>
                <c:pt idx="49">
                  <c:v>6</c:v>
                </c:pt>
                <c:pt idx="50">
                  <c:v>10.3</c:v>
                </c:pt>
                <c:pt idx="51">
                  <c:v>5.0999999999999996</c:v>
                </c:pt>
                <c:pt idx="52">
                  <c:v>4.3</c:v>
                </c:pt>
                <c:pt idx="53">
                  <c:v>6.3</c:v>
                </c:pt>
                <c:pt idx="54">
                  <c:v>5.9</c:v>
                </c:pt>
                <c:pt idx="55">
                  <c:v>6.2</c:v>
                </c:pt>
                <c:pt idx="56">
                  <c:v>5.9</c:v>
                </c:pt>
                <c:pt idx="57">
                  <c:v>6.5</c:v>
                </c:pt>
                <c:pt idx="58">
                  <c:v>7.3</c:v>
                </c:pt>
                <c:pt idx="59">
                  <c:v>4.9000000000000004</c:v>
                </c:pt>
                <c:pt idx="60">
                  <c:v>6.2</c:v>
                </c:pt>
                <c:pt idx="61">
                  <c:v>6.7</c:v>
                </c:pt>
                <c:pt idx="62">
                  <c:v>5.9</c:v>
                </c:pt>
                <c:pt idx="63">
                  <c:v>7.7</c:v>
                </c:pt>
                <c:pt idx="64">
                  <c:v>8</c:v>
                </c:pt>
                <c:pt idx="65">
                  <c:v>9.1</c:v>
                </c:pt>
                <c:pt idx="66">
                  <c:v>8.1</c:v>
                </c:pt>
                <c:pt idx="67">
                  <c:v>7.2</c:v>
                </c:pt>
                <c:pt idx="68">
                  <c:v>8.1999999999999993</c:v>
                </c:pt>
                <c:pt idx="69">
                  <c:v>5.9</c:v>
                </c:pt>
                <c:pt idx="70">
                  <c:v>5.8</c:v>
                </c:pt>
                <c:pt idx="71">
                  <c:v>5.7</c:v>
                </c:pt>
                <c:pt idx="72">
                  <c:v>5.7</c:v>
                </c:pt>
                <c:pt idx="73">
                  <c:v>5.6</c:v>
                </c:pt>
                <c:pt idx="74">
                  <c:v>6.3</c:v>
                </c:pt>
                <c:pt idx="75">
                  <c:v>5.6</c:v>
                </c:pt>
                <c:pt idx="76">
                  <c:v>5.5</c:v>
                </c:pt>
                <c:pt idx="77">
                  <c:v>3.3</c:v>
                </c:pt>
                <c:pt idx="78">
                  <c:v>4.3</c:v>
                </c:pt>
                <c:pt idx="79">
                  <c:v>4.8</c:v>
                </c:pt>
                <c:pt idx="80">
                  <c:v>5.0999999999999996</c:v>
                </c:pt>
                <c:pt idx="81">
                  <c:v>6.1</c:v>
                </c:pt>
                <c:pt idx="82">
                  <c:v>5.6</c:v>
                </c:pt>
                <c:pt idx="83">
                  <c:v>6.2</c:v>
                </c:pt>
                <c:pt idx="84">
                  <c:v>5.0999999999999996</c:v>
                </c:pt>
                <c:pt idx="85">
                  <c:v>5.7</c:v>
                </c:pt>
                <c:pt idx="86">
                  <c:v>5.5</c:v>
                </c:pt>
                <c:pt idx="87">
                  <c:v>4.5999999999999996</c:v>
                </c:pt>
                <c:pt idx="88">
                  <c:v>4.5999999999999996</c:v>
                </c:pt>
                <c:pt idx="89">
                  <c:v>4.8</c:v>
                </c:pt>
                <c:pt idx="90">
                  <c:v>5</c:v>
                </c:pt>
                <c:pt idx="91">
                  <c:v>5.3</c:v>
                </c:pt>
                <c:pt idx="92">
                  <c:v>4.3</c:v>
                </c:pt>
                <c:pt idx="93">
                  <c:v>4.9000000000000004</c:v>
                </c:pt>
                <c:pt idx="94">
                  <c:v>4.5999999999999996</c:v>
                </c:pt>
                <c:pt idx="95">
                  <c:v>3.1</c:v>
                </c:pt>
                <c:pt idx="96">
                  <c:v>4.5999999999999996</c:v>
                </c:pt>
                <c:pt idx="97">
                  <c:v>3.9</c:v>
                </c:pt>
                <c:pt idx="98">
                  <c:v>3.8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C90-4964-8E46-8BD72BAE0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6955218"/>
        <c:axId val="82021485"/>
      </c:lineChart>
      <c:catAx>
        <c:axId val="169552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AS"/>
          </a:p>
        </c:txPr>
        <c:crossAx val="82021485"/>
        <c:crosses val="autoZero"/>
        <c:auto val="1"/>
        <c:lblAlgn val="ctr"/>
        <c:lblOffset val="100"/>
        <c:noMultiLvlLbl val="0"/>
      </c:catAx>
      <c:valAx>
        <c:axId val="820214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Index / %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AS"/>
          </a:p>
        </c:txPr>
        <c:crossAx val="169552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A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11</xdr:col>
      <xdr:colOff>200024</xdr:colOff>
      <xdr:row>27</xdr:row>
      <xdr:rowOff>149400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285749</xdr:colOff>
      <xdr:row>7</xdr:row>
      <xdr:rowOff>0</xdr:rowOff>
    </xdr:from>
    <xdr:to>
      <xdr:col>23</xdr:col>
      <xdr:colOff>571500</xdr:colOff>
      <xdr:row>27</xdr:row>
      <xdr:rowOff>149400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11</xdr:col>
      <xdr:colOff>210578</xdr:colOff>
      <xdr:row>48</xdr:row>
      <xdr:rowOff>149040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293657</xdr:colOff>
      <xdr:row>28</xdr:row>
      <xdr:rowOff>0</xdr:rowOff>
    </xdr:from>
    <xdr:to>
      <xdr:col>23</xdr:col>
      <xdr:colOff>571500</xdr:colOff>
      <xdr:row>48</xdr:row>
      <xdr:rowOff>149040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showGridLines="0" topLeftCell="A31" zoomScaleNormal="100" workbookViewId="0">
      <selection sqref="A1:B44"/>
    </sheetView>
  </sheetViews>
  <sheetFormatPr defaultColWidth="8.7109375" defaultRowHeight="15" x14ac:dyDescent="0.25"/>
  <cols>
    <col min="1" max="1" width="30" customWidth="1"/>
    <col min="2" max="2" width="85" customWidth="1"/>
  </cols>
  <sheetData>
    <row r="1" spans="1:2" ht="39.75" customHeight="1" x14ac:dyDescent="0.25">
      <c r="A1" s="85" t="s">
        <v>0</v>
      </c>
      <c r="B1" s="85"/>
    </row>
    <row r="2" spans="1:2" ht="19.5" customHeight="1" x14ac:dyDescent="0.25">
      <c r="A2" s="78" t="s">
        <v>1</v>
      </c>
      <c r="B2" s="78"/>
    </row>
    <row r="3" spans="1:2" ht="19.5" customHeight="1" x14ac:dyDescent="0.25">
      <c r="A3" s="1" t="s">
        <v>2</v>
      </c>
      <c r="B3" s="2" t="s">
        <v>3</v>
      </c>
    </row>
    <row r="4" spans="1:2" ht="24" x14ac:dyDescent="0.25">
      <c r="A4" s="1" t="s">
        <v>4</v>
      </c>
      <c r="B4" s="3" t="s">
        <v>5</v>
      </c>
    </row>
    <row r="5" spans="1:2" ht="24" x14ac:dyDescent="0.25">
      <c r="A5" s="1" t="s">
        <v>6</v>
      </c>
      <c r="B5" s="2" t="s">
        <v>7</v>
      </c>
    </row>
    <row r="6" spans="1:2" ht="19.5" customHeight="1" x14ac:dyDescent="0.25"/>
    <row r="7" spans="1:2" ht="19.5" customHeight="1" x14ac:dyDescent="0.25">
      <c r="A7" s="78" t="s">
        <v>8</v>
      </c>
      <c r="B7" s="78"/>
    </row>
    <row r="8" spans="1:2" ht="24" x14ac:dyDescent="0.25">
      <c r="A8" s="1" t="s">
        <v>9</v>
      </c>
      <c r="B8" s="3" t="s">
        <v>10</v>
      </c>
    </row>
    <row r="9" spans="1:2" ht="24" x14ac:dyDescent="0.25">
      <c r="A9" s="1" t="s">
        <v>11</v>
      </c>
      <c r="B9" s="2" t="s">
        <v>12</v>
      </c>
    </row>
    <row r="10" spans="1:2" ht="24" x14ac:dyDescent="0.25">
      <c r="A10" s="1" t="s">
        <v>13</v>
      </c>
      <c r="B10" s="3" t="s">
        <v>14</v>
      </c>
    </row>
    <row r="11" spans="1:2" ht="24" x14ac:dyDescent="0.25">
      <c r="A11" s="1" t="s">
        <v>15</v>
      </c>
      <c r="B11" s="2" t="s">
        <v>16</v>
      </c>
    </row>
    <row r="12" spans="1:2" ht="24" x14ac:dyDescent="0.25">
      <c r="A12" s="1" t="s">
        <v>17</v>
      </c>
      <c r="B12" s="3" t="s">
        <v>18</v>
      </c>
    </row>
    <row r="13" spans="1:2" ht="24" x14ac:dyDescent="0.25">
      <c r="A13" s="1" t="s">
        <v>19</v>
      </c>
      <c r="B13" s="2" t="s">
        <v>20</v>
      </c>
    </row>
    <row r="14" spans="1:2" x14ac:dyDescent="0.25">
      <c r="A14" s="1" t="s">
        <v>21</v>
      </c>
      <c r="B14" s="3" t="s">
        <v>22</v>
      </c>
    </row>
    <row r="15" spans="1:2" ht="19.5" customHeight="1" x14ac:dyDescent="0.25"/>
    <row r="16" spans="1:2" ht="19.5" customHeight="1" x14ac:dyDescent="0.25">
      <c r="A16" s="78" t="s">
        <v>23</v>
      </c>
      <c r="B16" s="78"/>
    </row>
    <row r="17" spans="1:2" ht="24" x14ac:dyDescent="0.25">
      <c r="A17" s="1" t="s">
        <v>24</v>
      </c>
      <c r="B17" s="2" t="s">
        <v>25</v>
      </c>
    </row>
    <row r="18" spans="1:2" x14ac:dyDescent="0.25">
      <c r="A18" s="1" t="s">
        <v>26</v>
      </c>
      <c r="B18" s="3" t="s">
        <v>27</v>
      </c>
    </row>
    <row r="19" spans="1:2" ht="24" x14ac:dyDescent="0.25">
      <c r="A19" s="1" t="s">
        <v>28</v>
      </c>
      <c r="B19" s="2" t="s">
        <v>29</v>
      </c>
    </row>
    <row r="20" spans="1:2" ht="24" x14ac:dyDescent="0.25">
      <c r="A20" s="1" t="s">
        <v>30</v>
      </c>
      <c r="B20" s="3" t="s">
        <v>31</v>
      </c>
    </row>
    <row r="21" spans="1:2" ht="24" x14ac:dyDescent="0.25">
      <c r="A21" s="1" t="s">
        <v>32</v>
      </c>
      <c r="B21" s="2" t="s">
        <v>33</v>
      </c>
    </row>
    <row r="22" spans="1:2" ht="24" x14ac:dyDescent="0.25">
      <c r="A22" s="1" t="s">
        <v>34</v>
      </c>
      <c r="B22" s="3" t="s">
        <v>35</v>
      </c>
    </row>
    <row r="23" spans="1:2" ht="19.5" customHeight="1" x14ac:dyDescent="0.25"/>
    <row r="24" spans="1:2" ht="19.5" customHeight="1" x14ac:dyDescent="0.25">
      <c r="A24" s="78" t="s">
        <v>36</v>
      </c>
      <c r="B24" s="78"/>
    </row>
    <row r="25" spans="1:2" ht="19.5" customHeight="1" x14ac:dyDescent="0.25">
      <c r="A25" s="1" t="s">
        <v>37</v>
      </c>
      <c r="B25" s="2" t="s">
        <v>38</v>
      </c>
    </row>
    <row r="26" spans="1:2" ht="19.5" customHeight="1" x14ac:dyDescent="0.25">
      <c r="A26" s="1" t="s">
        <v>39</v>
      </c>
      <c r="B26" s="3" t="s">
        <v>40</v>
      </c>
    </row>
    <row r="27" spans="1:2" ht="19.5" customHeight="1" x14ac:dyDescent="0.25">
      <c r="A27" s="1" t="s">
        <v>41</v>
      </c>
      <c r="B27" s="2" t="s">
        <v>42</v>
      </c>
    </row>
    <row r="28" spans="1:2" ht="19.5" customHeight="1" x14ac:dyDescent="0.25">
      <c r="A28" s="1" t="s">
        <v>43</v>
      </c>
      <c r="B28" s="3" t="s">
        <v>44</v>
      </c>
    </row>
    <row r="29" spans="1:2" ht="19.5" customHeight="1" x14ac:dyDescent="0.25">
      <c r="A29" s="1" t="s">
        <v>45</v>
      </c>
      <c r="B29" s="2" t="s">
        <v>46</v>
      </c>
    </row>
    <row r="30" spans="1:2" ht="19.5" customHeight="1" x14ac:dyDescent="0.25">
      <c r="A30" s="1" t="s">
        <v>47</v>
      </c>
      <c r="B30" s="3" t="s">
        <v>48</v>
      </c>
    </row>
    <row r="31" spans="1:2" ht="19.5" customHeight="1" x14ac:dyDescent="0.25">
      <c r="A31" s="1" t="s">
        <v>49</v>
      </c>
      <c r="B31" s="2" t="s">
        <v>50</v>
      </c>
    </row>
    <row r="32" spans="1:2" ht="19.5" customHeight="1" x14ac:dyDescent="0.25">
      <c r="A32" s="1" t="s">
        <v>51</v>
      </c>
      <c r="B32" s="3" t="s">
        <v>52</v>
      </c>
    </row>
    <row r="33" spans="1:2" ht="19.5" customHeight="1" x14ac:dyDescent="0.25">
      <c r="A33" s="1" t="s">
        <v>53</v>
      </c>
      <c r="B33" s="2" t="s">
        <v>54</v>
      </c>
    </row>
    <row r="34" spans="1:2" ht="19.5" customHeight="1" x14ac:dyDescent="0.25">
      <c r="A34" s="1" t="s">
        <v>55</v>
      </c>
      <c r="B34" s="3" t="s">
        <v>56</v>
      </c>
    </row>
    <row r="35" spans="1:2" ht="19.5" customHeight="1" x14ac:dyDescent="0.25"/>
    <row r="36" spans="1:2" ht="19.5" customHeight="1" x14ac:dyDescent="0.25">
      <c r="A36" s="78" t="s">
        <v>57</v>
      </c>
      <c r="B36" s="78"/>
    </row>
    <row r="37" spans="1:2" ht="19.5" customHeight="1" x14ac:dyDescent="0.25">
      <c r="A37" s="1" t="s">
        <v>58</v>
      </c>
      <c r="B37" s="2" t="s">
        <v>59</v>
      </c>
    </row>
    <row r="38" spans="1:2" ht="19.5" customHeight="1" x14ac:dyDescent="0.25">
      <c r="A38" s="1" t="s">
        <v>60</v>
      </c>
      <c r="B38" s="3" t="s">
        <v>61</v>
      </c>
    </row>
    <row r="39" spans="1:2" ht="19.5" customHeight="1" x14ac:dyDescent="0.25">
      <c r="A39" s="1" t="s">
        <v>62</v>
      </c>
      <c r="B39" s="2" t="s">
        <v>63</v>
      </c>
    </row>
    <row r="40" spans="1:2" ht="19.5" customHeight="1" x14ac:dyDescent="0.25">
      <c r="A40" s="1" t="s">
        <v>64</v>
      </c>
      <c r="B40" s="3" t="s">
        <v>65</v>
      </c>
    </row>
    <row r="41" spans="1:2" ht="19.5" customHeight="1" x14ac:dyDescent="0.25"/>
    <row r="42" spans="1:2" ht="19.5" customHeight="1" x14ac:dyDescent="0.25">
      <c r="A42" s="78" t="s">
        <v>66</v>
      </c>
      <c r="B42" s="78"/>
    </row>
    <row r="43" spans="1:2" ht="48" x14ac:dyDescent="0.25">
      <c r="A43" s="1" t="s">
        <v>67</v>
      </c>
      <c r="B43" s="2" t="s">
        <v>68</v>
      </c>
    </row>
    <row r="44" spans="1:2" ht="36" x14ac:dyDescent="0.25">
      <c r="A44" s="1" t="s">
        <v>69</v>
      </c>
      <c r="B44" s="3" t="s">
        <v>70</v>
      </c>
    </row>
  </sheetData>
  <mergeCells count="7">
    <mergeCell ref="A36:B36"/>
    <mergeCell ref="A42:B42"/>
    <mergeCell ref="A1:B1"/>
    <mergeCell ref="A2:B2"/>
    <mergeCell ref="A7:B7"/>
    <mergeCell ref="A16:B16"/>
    <mergeCell ref="A24:B24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2"/>
  <sheetViews>
    <sheetView showGridLines="0" zoomScaleNormal="100" workbookViewId="0">
      <selection activeCell="K14" sqref="K14"/>
    </sheetView>
  </sheetViews>
  <sheetFormatPr defaultColWidth="8.7109375" defaultRowHeight="15" x14ac:dyDescent="0.25"/>
  <cols>
    <col min="1" max="11" width="18" customWidth="1"/>
  </cols>
  <sheetData>
    <row r="1" spans="1:11" ht="31.5" customHeight="1" x14ac:dyDescent="0.25">
      <c r="A1" s="86" t="s">
        <v>71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ht="15" customHeight="1" x14ac:dyDescent="0.25">
      <c r="A2" s="4" t="s">
        <v>72</v>
      </c>
      <c r="B2" s="4" t="s">
        <v>73</v>
      </c>
      <c r="C2" s="4" t="s">
        <v>74</v>
      </c>
      <c r="D2" s="4" t="s">
        <v>75</v>
      </c>
      <c r="E2" s="4" t="s">
        <v>76</v>
      </c>
      <c r="F2" s="4" t="s">
        <v>77</v>
      </c>
      <c r="G2" s="4" t="s">
        <v>78</v>
      </c>
      <c r="H2" s="4" t="s">
        <v>79</v>
      </c>
      <c r="I2" s="4" t="s">
        <v>80</v>
      </c>
      <c r="J2" s="4" t="s">
        <v>81</v>
      </c>
      <c r="K2" s="4" t="s">
        <v>82</v>
      </c>
    </row>
    <row r="3" spans="1:11" ht="15" customHeight="1" x14ac:dyDescent="0.25">
      <c r="A3" s="5" t="s">
        <v>83</v>
      </c>
      <c r="B3" s="5">
        <v>98.9</v>
      </c>
      <c r="C3" s="5">
        <v>101.5</v>
      </c>
      <c r="D3" s="5">
        <v>103.1</v>
      </c>
      <c r="E3" s="5">
        <v>98.9</v>
      </c>
      <c r="F3" s="5">
        <v>111.1</v>
      </c>
      <c r="G3" s="5">
        <v>71.8</v>
      </c>
      <c r="H3" s="5">
        <v>4.5999999999999996</v>
      </c>
      <c r="I3" s="5">
        <v>2.8</v>
      </c>
      <c r="J3" s="5">
        <v>5.0999999999999996</v>
      </c>
      <c r="K3" s="5">
        <v>3.1</v>
      </c>
    </row>
    <row r="4" spans="1:11" ht="15" customHeight="1" x14ac:dyDescent="0.25">
      <c r="A4" s="6" t="s">
        <v>84</v>
      </c>
      <c r="B4" s="6">
        <v>99.4</v>
      </c>
      <c r="C4" s="6">
        <v>102.5</v>
      </c>
      <c r="D4" s="6">
        <v>102.3</v>
      </c>
      <c r="E4" s="6">
        <v>98.5</v>
      </c>
      <c r="F4" s="6">
        <v>112</v>
      </c>
      <c r="G4" s="6">
        <v>74.2</v>
      </c>
      <c r="H4" s="6">
        <v>4.2</v>
      </c>
      <c r="I4" s="6">
        <v>2.7</v>
      </c>
      <c r="J4" s="6">
        <v>3.6</v>
      </c>
      <c r="K4" s="6">
        <v>1.7</v>
      </c>
    </row>
    <row r="5" spans="1:11" ht="15" customHeight="1" x14ac:dyDescent="0.25">
      <c r="A5" s="5" t="s">
        <v>85</v>
      </c>
      <c r="B5" s="5">
        <v>97.9</v>
      </c>
      <c r="C5" s="5">
        <v>101.4</v>
      </c>
      <c r="D5" s="5">
        <v>101.5</v>
      </c>
      <c r="E5" s="5">
        <v>97</v>
      </c>
      <c r="F5" s="5">
        <v>113.5</v>
      </c>
      <c r="G5" s="5">
        <v>72.7</v>
      </c>
      <c r="H5" s="5">
        <v>2.6</v>
      </c>
      <c r="I5" s="5">
        <v>1.3</v>
      </c>
      <c r="J5" s="5">
        <v>1.8</v>
      </c>
      <c r="K5" s="5">
        <v>-2.1</v>
      </c>
    </row>
    <row r="6" spans="1:11" ht="15" customHeight="1" x14ac:dyDescent="0.25">
      <c r="A6" s="6" t="s">
        <v>86</v>
      </c>
      <c r="B6" s="6">
        <v>99.4</v>
      </c>
      <c r="C6" s="6">
        <v>102.6</v>
      </c>
      <c r="D6" s="6">
        <v>102.6</v>
      </c>
      <c r="E6" s="6">
        <v>98.1</v>
      </c>
      <c r="F6" s="6">
        <v>114.4</v>
      </c>
      <c r="G6" s="6">
        <v>74.3</v>
      </c>
      <c r="H6" s="6">
        <v>2.7</v>
      </c>
      <c r="I6" s="6">
        <v>2.2999999999999998</v>
      </c>
      <c r="J6" s="6">
        <v>0.4</v>
      </c>
      <c r="K6" s="6">
        <v>-0.1</v>
      </c>
    </row>
    <row r="7" spans="1:11" ht="15" customHeight="1" x14ac:dyDescent="0.25">
      <c r="A7" s="5" t="s">
        <v>87</v>
      </c>
      <c r="B7" s="5">
        <v>101.2</v>
      </c>
      <c r="C7" s="5">
        <v>104.1</v>
      </c>
      <c r="D7" s="5">
        <v>104.2</v>
      </c>
      <c r="E7" s="5">
        <v>101</v>
      </c>
      <c r="F7" s="5">
        <v>114.2</v>
      </c>
      <c r="G7" s="5">
        <v>78.099999999999994</v>
      </c>
      <c r="H7" s="5">
        <v>6.4</v>
      </c>
      <c r="I7" s="5">
        <v>4.5999999999999996</v>
      </c>
      <c r="J7" s="5">
        <v>5</v>
      </c>
      <c r="K7" s="5">
        <v>2.6</v>
      </c>
    </row>
    <row r="8" spans="1:11" ht="15" customHeight="1" x14ac:dyDescent="0.25">
      <c r="A8" s="6" t="s">
        <v>88</v>
      </c>
      <c r="B8" s="6">
        <v>100.8</v>
      </c>
      <c r="C8" s="6">
        <v>104</v>
      </c>
      <c r="D8" s="6">
        <v>103.6</v>
      </c>
      <c r="E8" s="6">
        <v>101.3</v>
      </c>
      <c r="F8" s="6">
        <v>112</v>
      </c>
      <c r="G8" s="6">
        <v>77.7</v>
      </c>
      <c r="H8" s="6">
        <v>5.0999999999999996</v>
      </c>
      <c r="I8" s="6">
        <v>5.0999999999999996</v>
      </c>
      <c r="J8" s="6">
        <v>2.8</v>
      </c>
      <c r="K8" s="6">
        <v>0.6</v>
      </c>
    </row>
    <row r="9" spans="1:11" ht="15" customHeight="1" x14ac:dyDescent="0.25">
      <c r="A9" s="5" t="s">
        <v>89</v>
      </c>
      <c r="B9" s="5">
        <v>101.8</v>
      </c>
      <c r="C9" s="5">
        <v>104.8</v>
      </c>
      <c r="D9" s="5">
        <v>104.4</v>
      </c>
      <c r="E9" s="5">
        <v>103.6</v>
      </c>
      <c r="F9" s="5">
        <v>111.7</v>
      </c>
      <c r="G9" s="5">
        <v>81</v>
      </c>
      <c r="H9" s="5">
        <v>5.9</v>
      </c>
      <c r="I9" s="5">
        <v>5.2</v>
      </c>
      <c r="J9" s="5">
        <v>1.4</v>
      </c>
      <c r="K9" s="5">
        <v>2</v>
      </c>
    </row>
    <row r="10" spans="1:11" ht="15" customHeight="1" x14ac:dyDescent="0.25">
      <c r="A10" s="6" t="s">
        <v>90</v>
      </c>
      <c r="B10" s="6">
        <v>101.9</v>
      </c>
      <c r="C10" s="6">
        <v>104</v>
      </c>
      <c r="D10" s="6">
        <v>105.4</v>
      </c>
      <c r="E10" s="6">
        <v>100.3</v>
      </c>
      <c r="F10" s="6">
        <v>115.7</v>
      </c>
      <c r="G10" s="6">
        <v>82.1</v>
      </c>
      <c r="H10" s="6">
        <v>5.2</v>
      </c>
      <c r="I10" s="6">
        <v>4.2</v>
      </c>
      <c r="J10" s="6">
        <v>1.2</v>
      </c>
      <c r="K10" s="6">
        <v>-0.8</v>
      </c>
    </row>
    <row r="11" spans="1:11" ht="15" customHeight="1" x14ac:dyDescent="0.25">
      <c r="A11" s="5" t="s">
        <v>91</v>
      </c>
      <c r="B11" s="5">
        <v>101.7</v>
      </c>
      <c r="C11" s="5">
        <v>103.3</v>
      </c>
      <c r="D11" s="5">
        <v>105.5</v>
      </c>
      <c r="E11" s="5">
        <v>100.9</v>
      </c>
      <c r="F11" s="5">
        <v>117.6</v>
      </c>
      <c r="G11" s="5">
        <v>81.8</v>
      </c>
      <c r="H11" s="5">
        <v>4.5999999999999996</v>
      </c>
      <c r="I11" s="5">
        <v>3</v>
      </c>
      <c r="J11" s="5">
        <v>0.9</v>
      </c>
      <c r="K11" s="5">
        <v>-0.7</v>
      </c>
    </row>
    <row r="12" spans="1:11" ht="15" customHeight="1" x14ac:dyDescent="0.25">
      <c r="A12" s="6" t="s">
        <v>92</v>
      </c>
      <c r="B12" s="6">
        <v>101.1</v>
      </c>
      <c r="C12" s="6">
        <v>103.6</v>
      </c>
      <c r="D12" s="6">
        <v>104.2</v>
      </c>
      <c r="E12" s="6">
        <v>101</v>
      </c>
      <c r="F12" s="6">
        <v>116.1</v>
      </c>
      <c r="G12" s="6">
        <v>80.900000000000006</v>
      </c>
      <c r="H12" s="6">
        <v>3.7</v>
      </c>
      <c r="I12" s="6">
        <v>2.2999999999999998</v>
      </c>
      <c r="J12" s="6">
        <v>1.1000000000000001</v>
      </c>
      <c r="K12" s="6">
        <v>0.2</v>
      </c>
    </row>
    <row r="13" spans="1:11" ht="15" customHeight="1" x14ac:dyDescent="0.25">
      <c r="A13" s="5" t="s">
        <v>93</v>
      </c>
      <c r="B13" s="5">
        <v>102.5</v>
      </c>
      <c r="C13" s="5">
        <v>103.8</v>
      </c>
      <c r="D13" s="5">
        <v>105.9</v>
      </c>
      <c r="E13" s="5">
        <v>101.7</v>
      </c>
      <c r="F13" s="5">
        <v>117.4</v>
      </c>
      <c r="G13" s="5">
        <v>82.5</v>
      </c>
      <c r="H13" s="5">
        <v>4.4000000000000004</v>
      </c>
      <c r="I13" s="5">
        <v>2.4</v>
      </c>
      <c r="J13" s="5">
        <v>0</v>
      </c>
      <c r="K13" s="5">
        <v>0.9</v>
      </c>
    </row>
    <row r="14" spans="1:11" ht="15" customHeight="1" x14ac:dyDescent="0.25">
      <c r="A14" s="6" t="s">
        <v>94</v>
      </c>
      <c r="B14" s="6">
        <v>102.6</v>
      </c>
      <c r="C14" s="6">
        <v>104.1</v>
      </c>
      <c r="D14" s="6">
        <v>106.2</v>
      </c>
      <c r="E14" s="6">
        <v>103.2</v>
      </c>
      <c r="F14" s="6">
        <v>116.4</v>
      </c>
      <c r="G14" s="6">
        <v>82.2</v>
      </c>
      <c r="H14" s="6">
        <v>3.7</v>
      </c>
      <c r="I14" s="6">
        <v>3</v>
      </c>
      <c r="J14" s="6">
        <v>0.7</v>
      </c>
      <c r="K14" s="6">
        <v>3.3</v>
      </c>
    </row>
    <row r="15" spans="1:11" ht="15" customHeight="1" x14ac:dyDescent="0.25">
      <c r="A15" s="5" t="s">
        <v>95</v>
      </c>
      <c r="B15" s="5">
        <v>102.7</v>
      </c>
      <c r="C15" s="5">
        <v>104.9</v>
      </c>
      <c r="D15" s="5">
        <v>104.8</v>
      </c>
      <c r="E15" s="5">
        <v>103</v>
      </c>
      <c r="F15" s="5">
        <v>110.9</v>
      </c>
      <c r="G15" s="5">
        <v>81</v>
      </c>
      <c r="H15" s="5">
        <v>4.3</v>
      </c>
      <c r="I15" s="5">
        <v>4.5</v>
      </c>
      <c r="J15" s="5">
        <v>-0.5</v>
      </c>
      <c r="K15" s="5">
        <v>3.4</v>
      </c>
    </row>
    <row r="16" spans="1:11" ht="15" customHeight="1" x14ac:dyDescent="0.25">
      <c r="A16" s="6" t="s">
        <v>96</v>
      </c>
      <c r="B16" s="6">
        <v>103</v>
      </c>
      <c r="C16" s="6">
        <v>103.7</v>
      </c>
      <c r="D16" s="6">
        <v>105.3</v>
      </c>
      <c r="E16" s="6">
        <v>102.5</v>
      </c>
      <c r="F16" s="6">
        <v>110</v>
      </c>
      <c r="G16" s="6">
        <v>84.5</v>
      </c>
      <c r="H16" s="6">
        <v>4.4000000000000004</v>
      </c>
      <c r="I16" s="6">
        <v>2.6</v>
      </c>
      <c r="J16" s="6">
        <v>-0.2</v>
      </c>
      <c r="K16" s="6">
        <v>2.9</v>
      </c>
    </row>
    <row r="17" spans="1:11" ht="15" customHeight="1" x14ac:dyDescent="0.25">
      <c r="A17" s="5" t="s">
        <v>97</v>
      </c>
      <c r="B17" s="5">
        <v>104.3</v>
      </c>
      <c r="C17" s="5">
        <v>104.2</v>
      </c>
      <c r="D17" s="5">
        <v>106.9</v>
      </c>
      <c r="E17" s="5">
        <v>104.2</v>
      </c>
      <c r="F17" s="5">
        <v>112.9</v>
      </c>
      <c r="G17" s="5">
        <v>87.2</v>
      </c>
      <c r="H17" s="5">
        <v>7.1</v>
      </c>
      <c r="I17" s="5">
        <v>4.0999999999999996</v>
      </c>
      <c r="J17" s="5">
        <v>-1.9</v>
      </c>
      <c r="K17" s="5">
        <v>6.4</v>
      </c>
    </row>
    <row r="18" spans="1:11" ht="15" customHeight="1" x14ac:dyDescent="0.25">
      <c r="A18" s="6" t="s">
        <v>98</v>
      </c>
      <c r="B18" s="6">
        <v>103.8</v>
      </c>
      <c r="C18" s="6">
        <v>104.7</v>
      </c>
      <c r="D18" s="6">
        <v>105.5</v>
      </c>
      <c r="E18" s="6">
        <v>105.6</v>
      </c>
      <c r="F18" s="6">
        <v>110.3</v>
      </c>
      <c r="G18" s="6">
        <v>87.4</v>
      </c>
      <c r="H18" s="6">
        <v>4.9000000000000004</v>
      </c>
      <c r="I18" s="6">
        <v>3</v>
      </c>
      <c r="J18" s="6">
        <v>-0.7</v>
      </c>
      <c r="K18" s="6">
        <v>6.6</v>
      </c>
    </row>
    <row r="19" spans="1:11" ht="15" customHeight="1" x14ac:dyDescent="0.25">
      <c r="A19" s="5" t="s">
        <v>99</v>
      </c>
      <c r="B19" s="5">
        <v>102.9</v>
      </c>
      <c r="C19" s="5">
        <v>104</v>
      </c>
      <c r="D19" s="5">
        <v>104.7</v>
      </c>
      <c r="E19" s="5">
        <v>100.8</v>
      </c>
      <c r="F19" s="5">
        <v>111</v>
      </c>
      <c r="G19" s="5">
        <v>87.1</v>
      </c>
      <c r="H19" s="5">
        <v>2.2999999999999998</v>
      </c>
      <c r="I19" s="5">
        <v>0.9</v>
      </c>
      <c r="J19" s="5">
        <v>-3.5</v>
      </c>
      <c r="K19" s="5">
        <v>-1</v>
      </c>
    </row>
    <row r="20" spans="1:11" ht="15" customHeight="1" x14ac:dyDescent="0.25">
      <c r="A20" s="6" t="s">
        <v>100</v>
      </c>
      <c r="B20" s="6">
        <v>104.2</v>
      </c>
      <c r="C20" s="6">
        <v>103.8</v>
      </c>
      <c r="D20" s="6">
        <v>107.4</v>
      </c>
      <c r="E20" s="6">
        <v>104.6</v>
      </c>
      <c r="F20" s="6">
        <v>112.2</v>
      </c>
      <c r="G20" s="6">
        <v>88.2</v>
      </c>
      <c r="H20" s="6">
        <v>4.0999999999999996</v>
      </c>
      <c r="I20" s="6">
        <v>1.5</v>
      </c>
      <c r="J20" s="6">
        <v>-3.1</v>
      </c>
      <c r="K20" s="6">
        <v>3.3</v>
      </c>
    </row>
    <row r="21" spans="1:11" ht="15" customHeight="1" x14ac:dyDescent="0.25">
      <c r="A21" s="5" t="s">
        <v>101</v>
      </c>
      <c r="B21" s="5">
        <v>105.3</v>
      </c>
      <c r="C21" s="5">
        <v>104.7</v>
      </c>
      <c r="D21" s="5">
        <v>106.1</v>
      </c>
      <c r="E21" s="5">
        <v>104.9</v>
      </c>
      <c r="F21" s="5">
        <v>108.2</v>
      </c>
      <c r="G21" s="5">
        <v>97.6</v>
      </c>
      <c r="H21" s="5">
        <v>4.4000000000000004</v>
      </c>
      <c r="I21" s="5">
        <v>1.6</v>
      </c>
      <c r="J21" s="5">
        <v>-1</v>
      </c>
      <c r="K21" s="5">
        <v>1.9</v>
      </c>
    </row>
    <row r="22" spans="1:11" ht="15" customHeight="1" x14ac:dyDescent="0.25">
      <c r="A22" s="6" t="s">
        <v>102</v>
      </c>
      <c r="B22" s="6">
        <v>104.4</v>
      </c>
      <c r="C22" s="6">
        <v>104.6</v>
      </c>
      <c r="D22" s="6">
        <v>105.6</v>
      </c>
      <c r="E22" s="6">
        <v>103.6</v>
      </c>
      <c r="F22" s="6">
        <v>109.6</v>
      </c>
      <c r="G22" s="6">
        <v>93.6</v>
      </c>
      <c r="H22" s="6">
        <v>3.1</v>
      </c>
      <c r="I22" s="6">
        <v>2.4</v>
      </c>
      <c r="J22" s="6">
        <v>-2.5</v>
      </c>
      <c r="K22" s="6">
        <v>2.9</v>
      </c>
    </row>
    <row r="23" spans="1:11" ht="15" customHeight="1" x14ac:dyDescent="0.25">
      <c r="A23" s="5" t="s">
        <v>103</v>
      </c>
      <c r="B23" s="5">
        <v>104.4</v>
      </c>
      <c r="C23" s="5">
        <v>105.4</v>
      </c>
      <c r="D23" s="5">
        <v>105.5</v>
      </c>
      <c r="E23" s="5">
        <v>103.5</v>
      </c>
      <c r="F23" s="5">
        <v>113</v>
      </c>
      <c r="G23" s="5">
        <v>92.9</v>
      </c>
      <c r="H23" s="5">
        <v>3.2</v>
      </c>
      <c r="I23" s="5">
        <v>3.7</v>
      </c>
      <c r="J23" s="5">
        <v>-3.6</v>
      </c>
      <c r="K23" s="5">
        <v>2.2000000000000002</v>
      </c>
    </row>
    <row r="24" spans="1:11" ht="15" customHeight="1" x14ac:dyDescent="0.25">
      <c r="A24" s="6" t="s">
        <v>104</v>
      </c>
      <c r="B24" s="6">
        <v>103.9</v>
      </c>
      <c r="C24" s="6">
        <v>105.5</v>
      </c>
      <c r="D24" s="6">
        <v>104.2</v>
      </c>
      <c r="E24" s="6">
        <v>102.4</v>
      </c>
      <c r="F24" s="6">
        <v>111.3</v>
      </c>
      <c r="G24" s="6">
        <v>91.4</v>
      </c>
      <c r="H24" s="6">
        <v>3.1</v>
      </c>
      <c r="I24" s="6">
        <v>3.4</v>
      </c>
      <c r="J24" s="6">
        <v>-0.8</v>
      </c>
      <c r="K24" s="6">
        <v>1.7</v>
      </c>
    </row>
    <row r="25" spans="1:11" ht="15" customHeight="1" x14ac:dyDescent="0.25">
      <c r="A25" s="5" t="s">
        <v>105</v>
      </c>
      <c r="B25" s="5">
        <v>103.4</v>
      </c>
      <c r="C25" s="5">
        <v>104.4</v>
      </c>
      <c r="D25" s="5">
        <v>104.1</v>
      </c>
      <c r="E25" s="5">
        <v>99.5</v>
      </c>
      <c r="F25" s="5">
        <v>110.6</v>
      </c>
      <c r="G25" s="5">
        <v>91.1</v>
      </c>
      <c r="H25" s="5">
        <v>1.4</v>
      </c>
      <c r="I25" s="5">
        <v>2.4</v>
      </c>
      <c r="J25" s="5">
        <v>2.2000000000000002</v>
      </c>
      <c r="K25" s="5">
        <v>-1.9</v>
      </c>
    </row>
    <row r="26" spans="1:11" ht="15" customHeight="1" x14ac:dyDescent="0.25">
      <c r="A26" s="6" t="s">
        <v>106</v>
      </c>
      <c r="B26" s="6">
        <v>104.4</v>
      </c>
      <c r="C26" s="6">
        <v>105.7</v>
      </c>
      <c r="D26" s="6">
        <v>104.8</v>
      </c>
      <c r="E26" s="6">
        <v>101.6</v>
      </c>
      <c r="F26" s="6">
        <v>111.7</v>
      </c>
      <c r="G26" s="6">
        <v>91.9</v>
      </c>
      <c r="H26" s="6">
        <v>2.7</v>
      </c>
      <c r="I26" s="6">
        <v>3.5</v>
      </c>
      <c r="J26" s="6">
        <v>-3</v>
      </c>
      <c r="K26" s="6">
        <v>-1.6</v>
      </c>
    </row>
    <row r="27" spans="1:11" ht="15" customHeight="1" x14ac:dyDescent="0.25">
      <c r="A27" s="5" t="s">
        <v>107</v>
      </c>
      <c r="B27" s="5">
        <v>104.3</v>
      </c>
      <c r="C27" s="5">
        <v>105.4</v>
      </c>
      <c r="D27" s="5">
        <v>106</v>
      </c>
      <c r="E27" s="5">
        <v>103.9</v>
      </c>
      <c r="F27" s="5">
        <v>110.5</v>
      </c>
      <c r="G27" s="5">
        <v>90.4</v>
      </c>
      <c r="H27" s="5">
        <v>3</v>
      </c>
      <c r="I27" s="5">
        <v>2.2999999999999998</v>
      </c>
      <c r="J27" s="5">
        <v>-1.2</v>
      </c>
      <c r="K27" s="5">
        <v>1.3</v>
      </c>
    </row>
    <row r="28" spans="1:11" ht="15" customHeight="1" x14ac:dyDescent="0.25">
      <c r="A28" s="6" t="s">
        <v>108</v>
      </c>
      <c r="B28" s="6">
        <v>103.8</v>
      </c>
      <c r="C28" s="6">
        <v>104.9</v>
      </c>
      <c r="D28" s="6">
        <v>105.1</v>
      </c>
      <c r="E28" s="6">
        <v>101.8</v>
      </c>
      <c r="F28" s="6">
        <v>111.4</v>
      </c>
      <c r="G28" s="6">
        <v>90.2</v>
      </c>
      <c r="H28" s="6">
        <v>1.4</v>
      </c>
      <c r="I28" s="6">
        <v>2.6</v>
      </c>
      <c r="J28" s="6">
        <v>-2.6</v>
      </c>
      <c r="K28" s="6">
        <v>-0.7</v>
      </c>
    </row>
    <row r="29" spans="1:11" ht="15" customHeight="1" x14ac:dyDescent="0.25">
      <c r="A29" s="5" t="s">
        <v>109</v>
      </c>
      <c r="B29" s="5">
        <v>97.4</v>
      </c>
      <c r="C29" s="5">
        <v>113.4</v>
      </c>
      <c r="D29" s="5">
        <v>84.2</v>
      </c>
      <c r="E29" s="5">
        <v>65.599999999999994</v>
      </c>
      <c r="F29" s="5">
        <v>101.2</v>
      </c>
      <c r="G29" s="5">
        <v>93.6</v>
      </c>
      <c r="H29" s="5">
        <v>-6.6</v>
      </c>
      <c r="I29" s="5">
        <v>10.1</v>
      </c>
      <c r="J29" s="5">
        <v>-0.8</v>
      </c>
      <c r="K29" s="5">
        <v>-37.9</v>
      </c>
    </row>
    <row r="30" spans="1:11" ht="15" customHeight="1" x14ac:dyDescent="0.25">
      <c r="A30" s="6" t="s">
        <v>110</v>
      </c>
      <c r="B30" s="6">
        <v>79.900000000000006</v>
      </c>
      <c r="C30" s="6">
        <v>109.7</v>
      </c>
      <c r="D30" s="6">
        <v>49</v>
      </c>
      <c r="E30" s="6">
        <v>32.299999999999997</v>
      </c>
      <c r="F30" s="6">
        <v>54.3</v>
      </c>
      <c r="G30" s="6">
        <v>112</v>
      </c>
      <c r="H30" s="6">
        <v>-24</v>
      </c>
      <c r="I30" s="6">
        <v>5.8</v>
      </c>
      <c r="J30" s="6">
        <v>-24.7</v>
      </c>
      <c r="K30" s="6">
        <v>-70.3</v>
      </c>
    </row>
    <row r="31" spans="1:11" ht="15" customHeight="1" x14ac:dyDescent="0.25">
      <c r="A31" s="5" t="s">
        <v>111</v>
      </c>
      <c r="B31" s="5">
        <v>90.8</v>
      </c>
      <c r="C31" s="5">
        <v>111.6</v>
      </c>
      <c r="D31" s="5">
        <v>61.5</v>
      </c>
      <c r="E31" s="5">
        <v>38.700000000000003</v>
      </c>
      <c r="F31" s="5">
        <v>77.7</v>
      </c>
      <c r="G31" s="5">
        <v>137.4</v>
      </c>
      <c r="H31" s="5">
        <v>-13.5</v>
      </c>
      <c r="I31" s="5">
        <v>8.4</v>
      </c>
      <c r="J31" s="5">
        <v>-13.8</v>
      </c>
      <c r="K31" s="5">
        <v>-62.7</v>
      </c>
    </row>
    <row r="32" spans="1:11" ht="15" customHeight="1" x14ac:dyDescent="0.25">
      <c r="A32" s="6" t="s">
        <v>112</v>
      </c>
      <c r="B32" s="6">
        <v>102.1</v>
      </c>
      <c r="C32" s="6">
        <v>110.6</v>
      </c>
      <c r="D32" s="6">
        <v>88.6</v>
      </c>
      <c r="E32" s="6">
        <v>67.900000000000006</v>
      </c>
      <c r="F32" s="6">
        <v>110.9</v>
      </c>
      <c r="G32" s="6">
        <v>137.4</v>
      </c>
      <c r="H32" s="6">
        <v>-3.8</v>
      </c>
      <c r="I32" s="6">
        <v>7</v>
      </c>
      <c r="J32" s="6">
        <v>-7.2</v>
      </c>
      <c r="K32" s="6">
        <v>-36.4</v>
      </c>
    </row>
    <row r="33" spans="1:11" ht="15" customHeight="1" x14ac:dyDescent="0.25">
      <c r="A33" s="5" t="s">
        <v>113</v>
      </c>
      <c r="B33" s="5">
        <v>107.1</v>
      </c>
      <c r="C33" s="5">
        <v>108.2</v>
      </c>
      <c r="D33" s="5">
        <v>100.7</v>
      </c>
      <c r="E33" s="5">
        <v>79.8</v>
      </c>
      <c r="F33" s="5">
        <v>121.1</v>
      </c>
      <c r="G33" s="5">
        <v>131.80000000000001</v>
      </c>
      <c r="H33" s="5">
        <v>0.4</v>
      </c>
      <c r="I33" s="5">
        <v>3.6</v>
      </c>
      <c r="J33" s="5">
        <v>-6.4</v>
      </c>
      <c r="K33" s="5">
        <v>-24.2</v>
      </c>
    </row>
    <row r="34" spans="1:11" ht="15" customHeight="1" x14ac:dyDescent="0.25">
      <c r="A34" s="6" t="s">
        <v>114</v>
      </c>
      <c r="B34" s="6">
        <v>108.5</v>
      </c>
      <c r="C34" s="6">
        <v>110.1</v>
      </c>
      <c r="D34" s="6">
        <v>102.8</v>
      </c>
      <c r="E34" s="6">
        <v>88.4</v>
      </c>
      <c r="F34" s="6">
        <v>123.5</v>
      </c>
      <c r="G34" s="6">
        <v>127.7</v>
      </c>
      <c r="H34" s="6">
        <v>2.2000000000000002</v>
      </c>
      <c r="I34" s="6">
        <v>5.0999999999999996</v>
      </c>
      <c r="J34" s="6">
        <v>-4.3</v>
      </c>
      <c r="K34" s="6">
        <v>-15.9</v>
      </c>
    </row>
    <row r="35" spans="1:11" ht="15" customHeight="1" x14ac:dyDescent="0.25">
      <c r="A35" s="5" t="s">
        <v>115</v>
      </c>
      <c r="B35" s="5">
        <v>110.2</v>
      </c>
      <c r="C35" s="5">
        <v>111</v>
      </c>
      <c r="D35" s="5">
        <v>106.8</v>
      </c>
      <c r="E35" s="5">
        <v>89.9</v>
      </c>
      <c r="F35" s="5">
        <v>127.1</v>
      </c>
      <c r="G35" s="5">
        <v>126</v>
      </c>
      <c r="H35" s="5">
        <v>3.8</v>
      </c>
      <c r="I35" s="5">
        <v>5</v>
      </c>
      <c r="J35" s="5">
        <v>-0.5</v>
      </c>
      <c r="K35" s="5">
        <v>-14.1</v>
      </c>
    </row>
    <row r="36" spans="1:11" ht="15" customHeight="1" x14ac:dyDescent="0.25">
      <c r="A36" s="6" t="s">
        <v>116</v>
      </c>
      <c r="B36" s="6">
        <v>111.3</v>
      </c>
      <c r="C36" s="6">
        <v>109.6</v>
      </c>
      <c r="D36" s="6">
        <v>107.9</v>
      </c>
      <c r="E36" s="6">
        <v>88.6</v>
      </c>
      <c r="F36" s="6">
        <v>132.69999999999999</v>
      </c>
      <c r="G36" s="6">
        <v>134.19999999999999</v>
      </c>
      <c r="H36" s="6">
        <v>5.7</v>
      </c>
      <c r="I36" s="6">
        <v>3.9</v>
      </c>
      <c r="J36" s="6">
        <v>0.5</v>
      </c>
      <c r="K36" s="6">
        <v>-13.6</v>
      </c>
    </row>
    <row r="37" spans="1:11" ht="15" customHeight="1" x14ac:dyDescent="0.25">
      <c r="A37" s="5" t="s">
        <v>117</v>
      </c>
      <c r="B37" s="5">
        <v>106.1</v>
      </c>
      <c r="C37" s="5">
        <v>111.7</v>
      </c>
      <c r="D37" s="5">
        <v>96.5</v>
      </c>
      <c r="E37" s="5">
        <v>69.2</v>
      </c>
      <c r="F37" s="5">
        <v>126.3</v>
      </c>
      <c r="G37" s="5">
        <v>133.19999999999999</v>
      </c>
      <c r="H37" s="5">
        <v>0.6</v>
      </c>
      <c r="I37" s="5">
        <v>6.5</v>
      </c>
      <c r="J37" s="5">
        <v>-2.6</v>
      </c>
      <c r="K37" s="5">
        <v>-32.299999999999997</v>
      </c>
    </row>
    <row r="38" spans="1:11" ht="15" customHeight="1" x14ac:dyDescent="0.25">
      <c r="A38" s="6" t="s">
        <v>118</v>
      </c>
      <c r="B38" s="6">
        <v>107.2</v>
      </c>
      <c r="C38" s="6">
        <v>107.4</v>
      </c>
      <c r="D38" s="6">
        <v>105.4</v>
      </c>
      <c r="E38" s="6">
        <v>90.1</v>
      </c>
      <c r="F38" s="6">
        <v>126.6</v>
      </c>
      <c r="G38" s="6">
        <v>123.8</v>
      </c>
      <c r="H38" s="6">
        <v>1.2</v>
      </c>
      <c r="I38" s="6">
        <v>0.8</v>
      </c>
      <c r="J38" s="6">
        <v>-4.5999999999999996</v>
      </c>
      <c r="K38" s="6">
        <v>-12.3</v>
      </c>
    </row>
    <row r="39" spans="1:11" ht="15" customHeight="1" x14ac:dyDescent="0.25">
      <c r="A39" s="5" t="s">
        <v>119</v>
      </c>
      <c r="B39" s="5">
        <v>99</v>
      </c>
      <c r="C39" s="5">
        <v>111</v>
      </c>
      <c r="D39" s="5">
        <v>78.7</v>
      </c>
      <c r="E39" s="5">
        <v>55.9</v>
      </c>
      <c r="F39" s="5">
        <v>98.8</v>
      </c>
      <c r="G39" s="5">
        <v>136</v>
      </c>
      <c r="H39" s="5">
        <v>-6.1</v>
      </c>
      <c r="I39" s="5">
        <v>5</v>
      </c>
      <c r="J39" s="5">
        <v>-16.600000000000001</v>
      </c>
      <c r="K39" s="5">
        <v>-47.4</v>
      </c>
    </row>
    <row r="40" spans="1:11" ht="15" customHeight="1" x14ac:dyDescent="0.25">
      <c r="A40" s="6" t="s">
        <v>120</v>
      </c>
      <c r="B40" s="6">
        <v>99.9</v>
      </c>
      <c r="C40" s="6">
        <v>112.2</v>
      </c>
      <c r="D40" s="6">
        <v>81.400000000000006</v>
      </c>
      <c r="E40" s="6">
        <v>52.9</v>
      </c>
      <c r="F40" s="6">
        <v>112.7</v>
      </c>
      <c r="G40" s="6">
        <v>132.19999999999999</v>
      </c>
      <c r="H40" s="6">
        <v>-4.3</v>
      </c>
      <c r="I40" s="6">
        <v>6.7</v>
      </c>
      <c r="J40" s="6">
        <v>-4.0999999999999996</v>
      </c>
      <c r="K40" s="6">
        <v>-50</v>
      </c>
    </row>
    <row r="41" spans="1:11" ht="15" customHeight="1" x14ac:dyDescent="0.25">
      <c r="A41" s="5" t="s">
        <v>121</v>
      </c>
      <c r="B41" s="5">
        <v>104</v>
      </c>
      <c r="C41" s="5">
        <v>113.7</v>
      </c>
      <c r="D41" s="5">
        <v>88.5</v>
      </c>
      <c r="E41" s="5">
        <v>60.6</v>
      </c>
      <c r="F41" s="5">
        <v>117.5</v>
      </c>
      <c r="G41" s="5">
        <v>130.19999999999999</v>
      </c>
      <c r="H41" s="5">
        <v>7</v>
      </c>
      <c r="I41" s="5">
        <v>-0.2</v>
      </c>
      <c r="J41" s="5">
        <v>-0.2</v>
      </c>
      <c r="K41" s="5">
        <v>-9.3000000000000007</v>
      </c>
    </row>
    <row r="42" spans="1:11" ht="15" customHeight="1" x14ac:dyDescent="0.25">
      <c r="A42" s="6" t="s">
        <v>122</v>
      </c>
      <c r="B42" s="6">
        <v>112.7</v>
      </c>
      <c r="C42" s="6">
        <v>112.5</v>
      </c>
      <c r="D42" s="6">
        <v>109.8</v>
      </c>
      <c r="E42" s="6">
        <v>99.5</v>
      </c>
      <c r="F42" s="6">
        <v>131.4</v>
      </c>
      <c r="G42" s="6">
        <v>129.5</v>
      </c>
      <c r="H42" s="6">
        <v>43.4</v>
      </c>
      <c r="I42" s="6">
        <v>3</v>
      </c>
      <c r="J42" s="6">
        <v>35.4</v>
      </c>
      <c r="K42" s="6">
        <v>212.7</v>
      </c>
    </row>
    <row r="43" spans="1:11" ht="15" customHeight="1" x14ac:dyDescent="0.25">
      <c r="A43" s="5" t="s">
        <v>123</v>
      </c>
      <c r="B43" s="5">
        <v>110.5</v>
      </c>
      <c r="C43" s="5">
        <v>107.2</v>
      </c>
      <c r="D43" s="5">
        <v>111.4</v>
      </c>
      <c r="E43" s="5">
        <v>95.8</v>
      </c>
      <c r="F43" s="5">
        <v>135.6</v>
      </c>
      <c r="G43" s="5">
        <v>122.3</v>
      </c>
      <c r="H43" s="5">
        <v>25.2</v>
      </c>
      <c r="I43" s="5">
        <v>-3.8</v>
      </c>
      <c r="J43" s="5">
        <v>14.4</v>
      </c>
      <c r="K43" s="5">
        <v>154.4</v>
      </c>
    </row>
    <row r="44" spans="1:11" ht="15" customHeight="1" x14ac:dyDescent="0.25">
      <c r="A44" s="6" t="s">
        <v>124</v>
      </c>
      <c r="B44" s="6">
        <v>111.2</v>
      </c>
      <c r="C44" s="6">
        <v>110.4</v>
      </c>
      <c r="D44" s="6">
        <v>110.1</v>
      </c>
      <c r="E44" s="6">
        <v>96.4</v>
      </c>
      <c r="F44" s="6">
        <v>125.1</v>
      </c>
      <c r="G44" s="6">
        <v>120.5</v>
      </c>
      <c r="H44" s="6">
        <v>12.8</v>
      </c>
      <c r="I44" s="6">
        <v>0.6</v>
      </c>
      <c r="J44" s="6">
        <v>4</v>
      </c>
      <c r="K44" s="6">
        <v>46.4</v>
      </c>
    </row>
    <row r="45" spans="1:11" ht="15" customHeight="1" x14ac:dyDescent="0.25">
      <c r="A45" s="5" t="s">
        <v>125</v>
      </c>
      <c r="B45" s="5">
        <v>108.8</v>
      </c>
      <c r="C45" s="5">
        <v>109.9</v>
      </c>
      <c r="D45" s="5">
        <v>106</v>
      </c>
      <c r="E45" s="5">
        <v>94.2</v>
      </c>
      <c r="F45" s="5">
        <v>121.1</v>
      </c>
      <c r="G45" s="5">
        <v>115</v>
      </c>
      <c r="H45" s="5">
        <v>5</v>
      </c>
      <c r="I45" s="5">
        <v>2</v>
      </c>
      <c r="J45" s="5">
        <v>1</v>
      </c>
      <c r="K45" s="5">
        <v>20.3</v>
      </c>
    </row>
    <row r="46" spans="1:11" ht="15" customHeight="1" x14ac:dyDescent="0.25">
      <c r="A46" s="6" t="s">
        <v>126</v>
      </c>
      <c r="B46" s="6">
        <v>108.9</v>
      </c>
      <c r="C46" s="6">
        <v>108.7</v>
      </c>
      <c r="D46" s="6">
        <v>107.1</v>
      </c>
      <c r="E46" s="6">
        <v>98.3</v>
      </c>
      <c r="F46" s="6">
        <v>118.1</v>
      </c>
      <c r="G46" s="6">
        <v>114.4</v>
      </c>
      <c r="H46" s="6">
        <v>4.3</v>
      </c>
      <c r="I46" s="6">
        <v>0.1</v>
      </c>
      <c r="J46" s="6">
        <v>-0.5</v>
      </c>
      <c r="K46" s="6">
        <v>13.5</v>
      </c>
    </row>
    <row r="47" spans="1:11" ht="15" customHeight="1" x14ac:dyDescent="0.25">
      <c r="A47" s="5" t="s">
        <v>127</v>
      </c>
      <c r="B47" s="5">
        <v>109</v>
      </c>
      <c r="C47" s="5">
        <v>108.3</v>
      </c>
      <c r="D47" s="5">
        <v>106.9</v>
      </c>
      <c r="E47" s="5">
        <v>100</v>
      </c>
      <c r="F47" s="5">
        <v>111.9</v>
      </c>
      <c r="G47" s="5">
        <v>115.8</v>
      </c>
      <c r="H47" s="5">
        <v>3.2</v>
      </c>
      <c r="I47" s="5">
        <v>-0.6</v>
      </c>
      <c r="J47" s="5">
        <v>0.4</v>
      </c>
      <c r="K47" s="5">
        <v>13.3</v>
      </c>
    </row>
    <row r="48" spans="1:11" ht="15" customHeight="1" x14ac:dyDescent="0.25">
      <c r="A48" s="6" t="s">
        <v>128</v>
      </c>
      <c r="B48" s="6">
        <v>108.8</v>
      </c>
      <c r="C48" s="6">
        <v>108.7</v>
      </c>
      <c r="D48" s="6">
        <v>109.1</v>
      </c>
      <c r="E48" s="6">
        <v>103</v>
      </c>
      <c r="F48" s="6">
        <v>114.8</v>
      </c>
      <c r="G48" s="6">
        <v>112.6</v>
      </c>
      <c r="H48" s="6">
        <v>2.6</v>
      </c>
      <c r="I48" s="6">
        <v>1.4</v>
      </c>
      <c r="J48" s="6">
        <v>-1</v>
      </c>
      <c r="K48" s="6">
        <v>17.8</v>
      </c>
    </row>
    <row r="49" spans="1:11" ht="15" customHeight="1" x14ac:dyDescent="0.25">
      <c r="A49" s="5" t="s">
        <v>129</v>
      </c>
      <c r="B49" s="5">
        <v>108.5</v>
      </c>
      <c r="C49" s="5">
        <v>107.4</v>
      </c>
      <c r="D49" s="5">
        <v>107.9</v>
      </c>
      <c r="E49" s="5">
        <v>103.1</v>
      </c>
      <c r="F49" s="5">
        <v>110.8</v>
      </c>
      <c r="G49" s="5">
        <v>113.3</v>
      </c>
      <c r="H49" s="5">
        <v>9.4</v>
      </c>
      <c r="I49" s="5">
        <v>-0.3</v>
      </c>
      <c r="J49" s="5">
        <v>-2.2000000000000002</v>
      </c>
      <c r="K49" s="5">
        <v>55.6</v>
      </c>
    </row>
    <row r="50" spans="1:11" ht="15" customHeight="1" x14ac:dyDescent="0.25">
      <c r="A50" s="6" t="s">
        <v>130</v>
      </c>
      <c r="B50" s="6">
        <v>108.6</v>
      </c>
      <c r="C50" s="6">
        <v>108.3</v>
      </c>
      <c r="D50" s="6">
        <v>106.4</v>
      </c>
      <c r="E50" s="6">
        <v>100.2</v>
      </c>
      <c r="F50" s="6">
        <v>115.6</v>
      </c>
      <c r="G50" s="6">
        <v>117.5</v>
      </c>
      <c r="H50" s="6">
        <v>8.4</v>
      </c>
      <c r="I50" s="6">
        <v>5.4</v>
      </c>
      <c r="J50" s="6">
        <v>2.4</v>
      </c>
      <c r="K50" s="6">
        <v>16.2</v>
      </c>
    </row>
    <row r="51" spans="1:11" ht="15" customHeight="1" x14ac:dyDescent="0.25">
      <c r="A51" s="5" t="s">
        <v>131</v>
      </c>
      <c r="B51" s="5">
        <v>107.7</v>
      </c>
      <c r="C51" s="5">
        <v>105.2</v>
      </c>
      <c r="D51" s="5">
        <v>105.3</v>
      </c>
      <c r="E51" s="5">
        <v>92.5</v>
      </c>
      <c r="F51" s="5">
        <v>111.5</v>
      </c>
      <c r="G51" s="5">
        <v>121.9</v>
      </c>
      <c r="H51" s="5">
        <v>16.399999999999999</v>
      </c>
      <c r="I51" s="5">
        <v>-0.7</v>
      </c>
      <c r="J51" s="5">
        <v>16.3</v>
      </c>
      <c r="K51" s="5">
        <v>76.099999999999994</v>
      </c>
    </row>
    <row r="52" spans="1:11" ht="15" customHeight="1" x14ac:dyDescent="0.25">
      <c r="A52" s="6" t="s">
        <v>132</v>
      </c>
      <c r="B52" s="6">
        <v>106.3</v>
      </c>
      <c r="C52" s="6">
        <v>104.4</v>
      </c>
      <c r="D52" s="6">
        <v>105.2</v>
      </c>
      <c r="E52" s="6">
        <v>100.1</v>
      </c>
      <c r="F52" s="6">
        <v>110.6</v>
      </c>
      <c r="G52" s="6">
        <v>114</v>
      </c>
      <c r="H52" s="6">
        <v>15.1</v>
      </c>
      <c r="I52" s="6">
        <v>-1.8</v>
      </c>
      <c r="J52" s="6">
        <v>5.6</v>
      </c>
      <c r="K52" s="6">
        <v>104.9</v>
      </c>
    </row>
    <row r="53" spans="1:11" ht="15" customHeight="1" x14ac:dyDescent="0.25">
      <c r="A53" s="5" t="s">
        <v>133</v>
      </c>
      <c r="B53" s="5">
        <v>105.5</v>
      </c>
      <c r="C53" s="5">
        <v>104.5</v>
      </c>
      <c r="D53" s="5">
        <v>107.4</v>
      </c>
      <c r="E53" s="5">
        <v>99.8</v>
      </c>
      <c r="F53" s="5">
        <v>112.8</v>
      </c>
      <c r="G53" s="5">
        <v>102.2</v>
      </c>
      <c r="H53" s="5">
        <v>11.8</v>
      </c>
      <c r="I53" s="5">
        <v>-1.8</v>
      </c>
      <c r="J53" s="5">
        <v>4.2</v>
      </c>
      <c r="K53" s="5">
        <v>79.900000000000006</v>
      </c>
    </row>
    <row r="54" spans="1:11" ht="15" customHeight="1" x14ac:dyDescent="0.25">
      <c r="A54" s="6" t="s">
        <v>134</v>
      </c>
      <c r="B54" s="6">
        <v>104.6</v>
      </c>
      <c r="C54" s="6">
        <v>103.7</v>
      </c>
      <c r="D54" s="6">
        <v>104</v>
      </c>
      <c r="E54" s="6">
        <v>100</v>
      </c>
      <c r="F54" s="6">
        <v>108.8</v>
      </c>
      <c r="G54" s="6">
        <v>108.2</v>
      </c>
      <c r="H54" s="6">
        <v>2.8</v>
      </c>
      <c r="I54" s="6">
        <v>-0.9</v>
      </c>
      <c r="J54" s="6">
        <v>-0.4</v>
      </c>
      <c r="K54" s="6">
        <v>9.1</v>
      </c>
    </row>
    <row r="55" spans="1:11" ht="15" customHeight="1" x14ac:dyDescent="0.25">
      <c r="A55" s="5" t="s">
        <v>135</v>
      </c>
      <c r="B55" s="5">
        <v>103.3</v>
      </c>
      <c r="C55" s="5">
        <v>101.7</v>
      </c>
      <c r="D55" s="5">
        <v>104</v>
      </c>
      <c r="E55" s="5">
        <v>101.8</v>
      </c>
      <c r="F55" s="5">
        <v>108.1</v>
      </c>
      <c r="G55" s="5">
        <v>105</v>
      </c>
      <c r="H55" s="5">
        <v>3.9</v>
      </c>
      <c r="I55" s="5">
        <v>3.3</v>
      </c>
      <c r="J55" s="5">
        <v>1.4</v>
      </c>
      <c r="K55" s="5">
        <v>14.5</v>
      </c>
    </row>
    <row r="56" spans="1:11" ht="15" customHeight="1" x14ac:dyDescent="0.25">
      <c r="A56" s="6" t="s">
        <v>136</v>
      </c>
      <c r="B56" s="6">
        <v>103.1</v>
      </c>
      <c r="C56" s="6">
        <v>104</v>
      </c>
      <c r="D56" s="6">
        <v>103.3</v>
      </c>
      <c r="E56" s="6">
        <v>100.8</v>
      </c>
      <c r="F56" s="6">
        <v>102.7</v>
      </c>
      <c r="G56" s="6">
        <v>100.4</v>
      </c>
      <c r="H56" s="6">
        <v>3.9</v>
      </c>
      <c r="I56" s="6">
        <v>3.4</v>
      </c>
      <c r="J56" s="6">
        <v>3.5</v>
      </c>
      <c r="K56" s="6">
        <v>12.1</v>
      </c>
    </row>
    <row r="57" spans="1:11" ht="15" customHeight="1" x14ac:dyDescent="0.25">
      <c r="A57" s="5" t="s">
        <v>137</v>
      </c>
      <c r="B57" s="5">
        <v>103.6</v>
      </c>
      <c r="C57" s="5">
        <v>105.6</v>
      </c>
      <c r="D57" s="5">
        <v>103.3</v>
      </c>
      <c r="E57" s="5">
        <v>100.8</v>
      </c>
      <c r="F57" s="5">
        <v>102.1</v>
      </c>
      <c r="G57" s="5">
        <v>100.9</v>
      </c>
      <c r="H57" s="5">
        <v>7.6</v>
      </c>
      <c r="I57" s="5">
        <v>7.4</v>
      </c>
      <c r="J57" s="5">
        <v>8.3000000000000007</v>
      </c>
      <c r="K57" s="5">
        <v>15.3</v>
      </c>
    </row>
    <row r="58" spans="1:11" ht="15" customHeight="1" x14ac:dyDescent="0.25">
      <c r="A58" s="6" t="s">
        <v>138</v>
      </c>
      <c r="B58" s="6">
        <v>101.6</v>
      </c>
      <c r="C58" s="6">
        <v>104.2</v>
      </c>
      <c r="D58" s="6">
        <v>99.9</v>
      </c>
      <c r="E58" s="6">
        <v>96</v>
      </c>
      <c r="F58" s="6">
        <v>102.1</v>
      </c>
      <c r="G58" s="6">
        <v>99.8</v>
      </c>
      <c r="H58" s="6">
        <v>4.7</v>
      </c>
      <c r="I58" s="6">
        <v>7.5</v>
      </c>
      <c r="J58" s="6">
        <v>4</v>
      </c>
      <c r="K58" s="6">
        <v>6</v>
      </c>
    </row>
    <row r="59" spans="1:11" ht="15" customHeight="1" x14ac:dyDescent="0.25">
      <c r="A59" s="5" t="s">
        <v>139</v>
      </c>
      <c r="B59" s="5">
        <v>100.4</v>
      </c>
      <c r="C59" s="5">
        <v>101.9</v>
      </c>
      <c r="D59" s="5">
        <v>100</v>
      </c>
      <c r="E59" s="5">
        <v>97.4</v>
      </c>
      <c r="F59" s="5">
        <v>102.3</v>
      </c>
      <c r="G59" s="5">
        <v>97.8</v>
      </c>
      <c r="H59" s="5">
        <v>3.8</v>
      </c>
      <c r="I59" s="5">
        <v>6.7</v>
      </c>
      <c r="J59" s="5">
        <v>2.1</v>
      </c>
      <c r="K59" s="5">
        <v>6.7</v>
      </c>
    </row>
    <row r="60" spans="1:11" ht="15" customHeight="1" x14ac:dyDescent="0.25">
      <c r="A60" s="6" t="s">
        <v>140</v>
      </c>
      <c r="B60" s="6">
        <v>101.7</v>
      </c>
      <c r="C60" s="6">
        <v>101.9</v>
      </c>
      <c r="D60" s="6">
        <v>102</v>
      </c>
      <c r="E60" s="6">
        <v>100.2</v>
      </c>
      <c r="F60" s="6">
        <v>101.6</v>
      </c>
      <c r="G60" s="6">
        <v>98.6</v>
      </c>
      <c r="H60" s="6">
        <v>5.2</v>
      </c>
      <c r="I60" s="6">
        <v>7.2</v>
      </c>
      <c r="J60" s="6">
        <v>1.5</v>
      </c>
      <c r="K60" s="6">
        <v>6.6</v>
      </c>
    </row>
    <row r="61" spans="1:11" ht="15" customHeight="1" x14ac:dyDescent="0.25">
      <c r="A61" s="5" t="s">
        <v>141</v>
      </c>
      <c r="B61" s="5">
        <v>100.7</v>
      </c>
      <c r="C61" s="5">
        <v>102.1</v>
      </c>
      <c r="D61" s="5">
        <v>101.1</v>
      </c>
      <c r="E61" s="5">
        <v>101.3</v>
      </c>
      <c r="F61" s="5">
        <v>103</v>
      </c>
      <c r="G61" s="5">
        <v>94.7</v>
      </c>
      <c r="H61" s="5">
        <v>3.7</v>
      </c>
      <c r="I61" s="5">
        <v>8.4</v>
      </c>
      <c r="J61" s="5">
        <v>4.5999999999999996</v>
      </c>
      <c r="K61" s="5">
        <v>7.1</v>
      </c>
    </row>
    <row r="62" spans="1:11" ht="15" customHeight="1" x14ac:dyDescent="0.25">
      <c r="A62" s="6" t="s">
        <v>142</v>
      </c>
      <c r="B62" s="6">
        <v>100.9</v>
      </c>
      <c r="C62" s="6">
        <v>101.1</v>
      </c>
      <c r="D62" s="6">
        <v>101.3</v>
      </c>
      <c r="E62" s="6">
        <v>103.6</v>
      </c>
      <c r="F62" s="6">
        <v>101.8</v>
      </c>
      <c r="G62" s="6">
        <v>96</v>
      </c>
      <c r="H62" s="6">
        <v>2.9</v>
      </c>
      <c r="I62" s="6">
        <v>6.3</v>
      </c>
      <c r="J62" s="6">
        <v>6.5</v>
      </c>
      <c r="K62" s="6">
        <v>11.7</v>
      </c>
    </row>
    <row r="63" spans="1:11" ht="15" customHeight="1" x14ac:dyDescent="0.25">
      <c r="A63" s="5" t="s">
        <v>143</v>
      </c>
      <c r="B63" s="5">
        <v>101</v>
      </c>
      <c r="C63" s="5">
        <v>100.7</v>
      </c>
      <c r="D63" s="5">
        <v>100.6</v>
      </c>
      <c r="E63" s="5">
        <v>102.9</v>
      </c>
      <c r="F63" s="5">
        <v>101.2</v>
      </c>
      <c r="G63" s="5">
        <v>98.8</v>
      </c>
      <c r="H63" s="5">
        <v>3.4</v>
      </c>
      <c r="I63" s="5">
        <v>9.1999999999999993</v>
      </c>
      <c r="J63" s="5">
        <v>6.7</v>
      </c>
      <c r="K63" s="5">
        <v>19.5</v>
      </c>
    </row>
    <row r="64" spans="1:11" ht="15" customHeight="1" x14ac:dyDescent="0.25">
      <c r="A64" s="6" t="s">
        <v>144</v>
      </c>
      <c r="B64" s="6">
        <v>101.3</v>
      </c>
      <c r="C64" s="6">
        <v>101.2</v>
      </c>
      <c r="D64" s="6">
        <v>102</v>
      </c>
      <c r="E64" s="6">
        <v>103.4</v>
      </c>
      <c r="F64" s="6">
        <v>99.4</v>
      </c>
      <c r="G64" s="6">
        <v>99.6</v>
      </c>
      <c r="H64" s="6">
        <v>4.9000000000000004</v>
      </c>
      <c r="I64" s="6">
        <v>11.2</v>
      </c>
      <c r="J64" s="6">
        <v>6.5</v>
      </c>
      <c r="K64" s="6">
        <v>12.5</v>
      </c>
    </row>
    <row r="65" spans="1:11" ht="15" customHeight="1" x14ac:dyDescent="0.25">
      <c r="A65" s="5" t="s">
        <v>145</v>
      </c>
      <c r="B65" s="5">
        <v>100</v>
      </c>
      <c r="C65" s="5">
        <v>100.5</v>
      </c>
      <c r="D65" s="5">
        <v>99.7</v>
      </c>
      <c r="E65" s="5">
        <v>100.7</v>
      </c>
      <c r="F65" s="5">
        <v>100.1</v>
      </c>
      <c r="G65" s="5">
        <v>99</v>
      </c>
      <c r="H65" s="5">
        <v>2.8</v>
      </c>
      <c r="I65" s="5">
        <v>10.4</v>
      </c>
      <c r="J65" s="5">
        <v>3.1</v>
      </c>
      <c r="K65" s="5">
        <v>9.1999999999999993</v>
      </c>
    </row>
    <row r="66" spans="1:11" ht="15" customHeight="1" x14ac:dyDescent="0.25">
      <c r="A66" s="6" t="s">
        <v>146</v>
      </c>
      <c r="B66" s="6">
        <v>101.3</v>
      </c>
      <c r="C66" s="6">
        <v>101</v>
      </c>
      <c r="D66" s="6">
        <v>102.4</v>
      </c>
      <c r="E66" s="6">
        <v>103</v>
      </c>
      <c r="F66" s="6">
        <v>102.4</v>
      </c>
      <c r="G66" s="6">
        <v>100</v>
      </c>
      <c r="H66" s="6">
        <v>4.7</v>
      </c>
      <c r="I66" s="6">
        <v>12</v>
      </c>
      <c r="J66" s="6">
        <v>7.6</v>
      </c>
      <c r="K66" s="6">
        <v>11</v>
      </c>
    </row>
    <row r="67" spans="1:11" ht="15" customHeight="1" x14ac:dyDescent="0.25">
      <c r="A67" s="5" t="s">
        <v>147</v>
      </c>
      <c r="B67" s="5">
        <v>100.4</v>
      </c>
      <c r="C67" s="5">
        <v>100.5</v>
      </c>
      <c r="D67" s="5">
        <v>101.1</v>
      </c>
      <c r="E67" s="5">
        <v>101.1</v>
      </c>
      <c r="F67" s="5">
        <v>101.8</v>
      </c>
      <c r="G67" s="5">
        <v>100.4</v>
      </c>
      <c r="H67" s="5">
        <v>4.3</v>
      </c>
      <c r="I67" s="5">
        <v>12.9</v>
      </c>
      <c r="J67" s="5">
        <v>9.6</v>
      </c>
      <c r="K67" s="5">
        <v>7</v>
      </c>
    </row>
    <row r="68" spans="1:11" ht="15" customHeight="1" x14ac:dyDescent="0.25">
      <c r="A68" s="6" t="s">
        <v>148</v>
      </c>
      <c r="B68" s="6">
        <v>101.1</v>
      </c>
      <c r="C68" s="6">
        <v>101</v>
      </c>
      <c r="D68" s="6">
        <v>102.1</v>
      </c>
      <c r="E68" s="6">
        <v>102.8</v>
      </c>
      <c r="F68" s="6">
        <v>101.5</v>
      </c>
      <c r="G68" s="6">
        <v>100.1</v>
      </c>
      <c r="H68" s="6">
        <v>3.3</v>
      </c>
      <c r="I68" s="6">
        <v>10.1</v>
      </c>
      <c r="J68" s="6">
        <v>10.8</v>
      </c>
      <c r="K68" s="6">
        <v>9.6999999999999993</v>
      </c>
    </row>
    <row r="69" spans="1:11" ht="15" customHeight="1" x14ac:dyDescent="0.25">
      <c r="A69" s="5" t="s">
        <v>149</v>
      </c>
      <c r="B69" s="5">
        <v>99.9</v>
      </c>
      <c r="C69" s="5">
        <v>99.1</v>
      </c>
      <c r="D69" s="5">
        <v>100.5</v>
      </c>
      <c r="E69" s="5">
        <v>99.5</v>
      </c>
      <c r="F69" s="5">
        <v>101.2</v>
      </c>
      <c r="G69" s="5">
        <v>101.5</v>
      </c>
      <c r="H69" s="5">
        <v>0.7</v>
      </c>
      <c r="I69" s="5">
        <v>5</v>
      </c>
      <c r="J69" s="5">
        <v>4.5</v>
      </c>
      <c r="K69" s="5">
        <v>5.3</v>
      </c>
    </row>
    <row r="70" spans="1:11" ht="15" customHeight="1" x14ac:dyDescent="0.25">
      <c r="A70" s="6" t="s">
        <v>150</v>
      </c>
      <c r="B70" s="6">
        <v>99.7</v>
      </c>
      <c r="C70" s="6">
        <v>99.6</v>
      </c>
      <c r="D70" s="6">
        <v>99.4</v>
      </c>
      <c r="E70" s="6">
        <v>98.3</v>
      </c>
      <c r="F70" s="6">
        <v>101</v>
      </c>
      <c r="G70" s="6">
        <v>101.4</v>
      </c>
      <c r="H70" s="6">
        <v>3.6</v>
      </c>
      <c r="I70" s="6">
        <v>6.7</v>
      </c>
      <c r="J70" s="6">
        <v>7.2</v>
      </c>
      <c r="K70" s="6">
        <v>9.6</v>
      </c>
    </row>
    <row r="71" spans="1:11" ht="15" customHeight="1" x14ac:dyDescent="0.25">
      <c r="A71" s="5" t="s">
        <v>151</v>
      </c>
      <c r="B71" s="5">
        <v>98.7</v>
      </c>
      <c r="C71" s="5">
        <v>100.1</v>
      </c>
      <c r="D71" s="5">
        <v>97</v>
      </c>
      <c r="E71" s="5">
        <v>94.9</v>
      </c>
      <c r="F71" s="5">
        <v>98.7</v>
      </c>
      <c r="G71" s="5">
        <v>98.5</v>
      </c>
      <c r="H71" s="5">
        <v>3.8</v>
      </c>
      <c r="I71" s="5">
        <v>8.6</v>
      </c>
      <c r="J71" s="5">
        <v>4.8</v>
      </c>
      <c r="K71" s="5">
        <v>4.0999999999999996</v>
      </c>
    </row>
    <row r="72" spans="1:11" ht="15" customHeight="1" x14ac:dyDescent="0.25">
      <c r="A72" s="6" t="s">
        <v>152</v>
      </c>
      <c r="B72" s="6">
        <v>99.3</v>
      </c>
      <c r="C72" s="6">
        <v>100.6</v>
      </c>
      <c r="D72" s="6">
        <v>97.9</v>
      </c>
      <c r="E72" s="6">
        <v>98.2</v>
      </c>
      <c r="F72" s="6">
        <v>97.1</v>
      </c>
      <c r="G72" s="6">
        <v>100.3</v>
      </c>
      <c r="H72" s="6">
        <v>2.4</v>
      </c>
      <c r="I72" s="6">
        <v>7.7</v>
      </c>
      <c r="J72" s="6">
        <v>5.2</v>
      </c>
      <c r="K72" s="6">
        <v>4</v>
      </c>
    </row>
    <row r="73" spans="1:11" ht="15" customHeight="1" x14ac:dyDescent="0.25">
      <c r="A73" s="5" t="s">
        <v>153</v>
      </c>
      <c r="B73" s="5">
        <v>100.8</v>
      </c>
      <c r="C73" s="5">
        <v>100.9</v>
      </c>
      <c r="D73" s="5">
        <v>100.5</v>
      </c>
      <c r="E73" s="5">
        <v>99.9</v>
      </c>
      <c r="F73" s="5">
        <v>98.7</v>
      </c>
      <c r="G73" s="5">
        <v>101.6</v>
      </c>
      <c r="H73" s="5">
        <v>3.9</v>
      </c>
      <c r="I73" s="5">
        <v>6.8</v>
      </c>
      <c r="J73" s="5">
        <v>5.2</v>
      </c>
      <c r="K73" s="5">
        <v>4</v>
      </c>
    </row>
    <row r="74" spans="1:11" ht="15" customHeight="1" x14ac:dyDescent="0.25">
      <c r="A74" s="6" t="s">
        <v>154</v>
      </c>
      <c r="B74" s="6">
        <v>97.3</v>
      </c>
      <c r="C74" s="6">
        <v>95.5</v>
      </c>
      <c r="D74" s="6">
        <v>97.5</v>
      </c>
      <c r="E74" s="6">
        <v>96.5</v>
      </c>
      <c r="F74" s="6">
        <v>97.4</v>
      </c>
      <c r="G74" s="6">
        <v>99.5</v>
      </c>
      <c r="H74" s="6">
        <v>-0.2</v>
      </c>
      <c r="I74" s="6">
        <v>1.6</v>
      </c>
      <c r="J74" s="6">
        <v>-1.3</v>
      </c>
      <c r="K74" s="6">
        <v>-1.7</v>
      </c>
    </row>
    <row r="75" spans="1:11" ht="15" customHeight="1" x14ac:dyDescent="0.25">
      <c r="A75" s="5" t="s">
        <v>155</v>
      </c>
      <c r="B75" s="5">
        <v>100.4</v>
      </c>
      <c r="C75" s="5">
        <v>100</v>
      </c>
      <c r="D75" s="5">
        <v>99.6</v>
      </c>
      <c r="E75" s="5">
        <v>97</v>
      </c>
      <c r="F75" s="5">
        <v>96.5</v>
      </c>
      <c r="G75" s="5">
        <v>99.8</v>
      </c>
      <c r="H75" s="5">
        <v>2.7</v>
      </c>
      <c r="I75" s="5">
        <v>5.9</v>
      </c>
      <c r="J75" s="5">
        <v>0.7</v>
      </c>
      <c r="K75" s="5">
        <v>-1.2</v>
      </c>
    </row>
    <row r="76" spans="1:11" ht="15" customHeight="1" x14ac:dyDescent="0.25">
      <c r="A76" s="6" t="s">
        <v>156</v>
      </c>
      <c r="B76" s="6">
        <v>100.4</v>
      </c>
      <c r="C76" s="6">
        <v>99.9</v>
      </c>
      <c r="D76" s="6">
        <v>100.3</v>
      </c>
      <c r="E76" s="6">
        <v>96.4</v>
      </c>
      <c r="F76" s="6">
        <v>96.4</v>
      </c>
      <c r="G76" s="6">
        <v>100.7</v>
      </c>
      <c r="H76" s="6">
        <v>1.6</v>
      </c>
      <c r="I76" s="6">
        <v>3.8</v>
      </c>
      <c r="J76" s="6">
        <v>1.6</v>
      </c>
      <c r="K76" s="6">
        <v>-2.8</v>
      </c>
    </row>
    <row r="77" spans="1:11" ht="15" customHeight="1" x14ac:dyDescent="0.25">
      <c r="A77" s="5" t="s">
        <v>157</v>
      </c>
      <c r="B77" s="5">
        <v>99.9</v>
      </c>
      <c r="C77" s="5">
        <v>98.7</v>
      </c>
      <c r="D77" s="5">
        <v>100.2</v>
      </c>
      <c r="E77" s="5">
        <v>96.1</v>
      </c>
      <c r="F77" s="5">
        <v>97</v>
      </c>
      <c r="G77" s="5">
        <v>99.6</v>
      </c>
      <c r="H77" s="5">
        <v>2.1</v>
      </c>
      <c r="I77" s="5">
        <v>2.4</v>
      </c>
      <c r="J77" s="5">
        <v>-2.5</v>
      </c>
      <c r="K77" s="5">
        <v>-1.4</v>
      </c>
    </row>
    <row r="78" spans="1:11" ht="15" customHeight="1" x14ac:dyDescent="0.25">
      <c r="A78" s="6" t="s">
        <v>158</v>
      </c>
      <c r="B78" s="6">
        <v>98.7</v>
      </c>
      <c r="C78" s="6">
        <v>97.9</v>
      </c>
      <c r="D78" s="6">
        <v>98.2</v>
      </c>
      <c r="E78" s="6">
        <v>93.3</v>
      </c>
      <c r="F78" s="6">
        <v>94.5</v>
      </c>
      <c r="G78" s="6">
        <v>100.1</v>
      </c>
      <c r="H78" s="6">
        <v>-1</v>
      </c>
      <c r="I78" s="6">
        <v>-0.1</v>
      </c>
      <c r="J78" s="6">
        <v>-4.9000000000000004</v>
      </c>
      <c r="K78" s="6">
        <v>-6.8</v>
      </c>
    </row>
    <row r="79" spans="1:11" ht="15" customHeight="1" x14ac:dyDescent="0.25">
      <c r="A79" s="5" t="s">
        <v>159</v>
      </c>
      <c r="B79" s="5">
        <v>101.4</v>
      </c>
      <c r="C79" s="5">
        <v>98.9</v>
      </c>
      <c r="D79" s="5">
        <v>101.9</v>
      </c>
      <c r="E79" s="5">
        <v>98.3</v>
      </c>
      <c r="F79" s="5">
        <v>99.2</v>
      </c>
      <c r="G79" s="5">
        <v>107</v>
      </c>
      <c r="H79" s="5">
        <v>2.2000000000000002</v>
      </c>
      <c r="I79" s="5">
        <v>0.7</v>
      </c>
      <c r="J79" s="5">
        <v>-2.7</v>
      </c>
      <c r="K79" s="5">
        <v>-0.7</v>
      </c>
    </row>
    <row r="80" spans="1:11" ht="15" customHeight="1" x14ac:dyDescent="0.25">
      <c r="A80" s="6" t="s">
        <v>160</v>
      </c>
      <c r="B80" s="6">
        <v>99.7</v>
      </c>
      <c r="C80" s="6">
        <v>97.4</v>
      </c>
      <c r="D80" s="6">
        <v>99.6</v>
      </c>
      <c r="E80" s="6">
        <v>96.7</v>
      </c>
      <c r="F80" s="6">
        <v>95.7</v>
      </c>
      <c r="G80" s="6">
        <v>104.5</v>
      </c>
      <c r="H80" s="6">
        <v>-0.3</v>
      </c>
      <c r="I80" s="6">
        <v>-1.6</v>
      </c>
      <c r="J80" s="6">
        <v>-8.6</v>
      </c>
      <c r="K80" s="6">
        <v>-4.8</v>
      </c>
    </row>
    <row r="81" spans="1:11" ht="15" customHeight="1" x14ac:dyDescent="0.25">
      <c r="A81" s="5" t="s">
        <v>161</v>
      </c>
      <c r="B81" s="5">
        <v>100.5</v>
      </c>
      <c r="C81" s="5">
        <v>98.3</v>
      </c>
      <c r="D81" s="5">
        <v>100.7</v>
      </c>
      <c r="E81" s="5">
        <v>96.2</v>
      </c>
      <c r="F81" s="5">
        <v>94.8</v>
      </c>
      <c r="G81" s="5">
        <v>105</v>
      </c>
      <c r="H81" s="5">
        <v>1.6</v>
      </c>
      <c r="I81" s="5">
        <v>1.3</v>
      </c>
      <c r="J81" s="5">
        <v>0.3</v>
      </c>
      <c r="K81" s="5">
        <v>-2</v>
      </c>
    </row>
    <row r="82" spans="1:11" ht="15" customHeight="1" x14ac:dyDescent="0.25">
      <c r="A82" s="6" t="s">
        <v>162</v>
      </c>
      <c r="B82" s="6">
        <v>100.8</v>
      </c>
      <c r="C82" s="6">
        <v>99.4</v>
      </c>
      <c r="D82" s="6">
        <v>101</v>
      </c>
      <c r="E82" s="6">
        <v>97.8</v>
      </c>
      <c r="F82" s="6">
        <v>96.7</v>
      </c>
      <c r="G82" s="6">
        <v>102.5</v>
      </c>
      <c r="H82" s="6">
        <v>1.1000000000000001</v>
      </c>
      <c r="I82" s="6">
        <v>1.2</v>
      </c>
      <c r="J82" s="6">
        <v>0.4</v>
      </c>
      <c r="K82" s="6">
        <v>0.5</v>
      </c>
    </row>
    <row r="83" spans="1:11" ht="15" customHeight="1" x14ac:dyDescent="0.25">
      <c r="A83" s="5" t="s">
        <v>163</v>
      </c>
      <c r="B83" s="5">
        <v>100.7</v>
      </c>
      <c r="C83" s="5">
        <v>98.3</v>
      </c>
      <c r="D83" s="5">
        <v>102.1</v>
      </c>
      <c r="E83" s="5">
        <v>97.2</v>
      </c>
      <c r="F83" s="5">
        <v>96.8</v>
      </c>
      <c r="G83" s="5">
        <v>102.7</v>
      </c>
      <c r="H83" s="5">
        <v>1.2</v>
      </c>
      <c r="I83" s="5">
        <v>-0.6</v>
      </c>
      <c r="J83" s="5">
        <v>2.4</v>
      </c>
      <c r="K83" s="5">
        <v>2.8</v>
      </c>
    </row>
    <row r="84" spans="1:11" ht="15" customHeight="1" x14ac:dyDescent="0.25">
      <c r="A84" s="6" t="s">
        <v>164</v>
      </c>
      <c r="B84" s="6">
        <v>100.1</v>
      </c>
      <c r="C84" s="6">
        <v>97.5</v>
      </c>
      <c r="D84" s="6">
        <v>101.1</v>
      </c>
      <c r="E84" s="6">
        <v>95.5</v>
      </c>
      <c r="F84" s="6">
        <v>96.5</v>
      </c>
      <c r="G84" s="6">
        <v>102.2</v>
      </c>
      <c r="H84" s="6">
        <v>-0.3</v>
      </c>
      <c r="I84" s="6">
        <v>-1.7</v>
      </c>
      <c r="J84" s="6">
        <v>1.5</v>
      </c>
      <c r="K84" s="6">
        <v>-2.2000000000000002</v>
      </c>
    </row>
    <row r="85" spans="1:11" ht="15" customHeight="1" x14ac:dyDescent="0.25">
      <c r="A85" s="5" t="s">
        <v>165</v>
      </c>
      <c r="B85" s="5">
        <v>100.1</v>
      </c>
      <c r="C85" s="5">
        <v>97.9</v>
      </c>
      <c r="D85" s="5">
        <v>101</v>
      </c>
      <c r="E85" s="5">
        <v>91.4</v>
      </c>
      <c r="F85" s="5">
        <v>96.6</v>
      </c>
      <c r="G85" s="5">
        <v>102.5</v>
      </c>
      <c r="H85" s="5">
        <v>-1.1000000000000001</v>
      </c>
      <c r="I85" s="5">
        <v>-1.3</v>
      </c>
      <c r="J85" s="5">
        <v>0.2</v>
      </c>
      <c r="K85" s="5">
        <v>-7.2</v>
      </c>
    </row>
    <row r="86" spans="1:11" ht="15" customHeight="1" x14ac:dyDescent="0.25">
      <c r="A86" s="6" t="s">
        <v>166</v>
      </c>
      <c r="B86" s="6">
        <v>100.1</v>
      </c>
      <c r="C86" s="6">
        <v>97.8</v>
      </c>
      <c r="D86" s="6">
        <v>102.2</v>
      </c>
      <c r="E86" s="6">
        <v>95.5</v>
      </c>
      <c r="F86" s="6">
        <v>97.6</v>
      </c>
      <c r="G86" s="6">
        <v>99.9</v>
      </c>
      <c r="H86" s="6">
        <v>3.4</v>
      </c>
      <c r="I86" s="6">
        <v>4.5</v>
      </c>
      <c r="J86" s="6">
        <v>5.7</v>
      </c>
      <c r="K86" s="6">
        <v>-0.3</v>
      </c>
    </row>
    <row r="87" spans="1:11" ht="15" customHeight="1" x14ac:dyDescent="0.25">
      <c r="A87" s="5" t="s">
        <v>167</v>
      </c>
      <c r="B87" s="5">
        <v>99</v>
      </c>
      <c r="C87" s="5">
        <v>99</v>
      </c>
      <c r="D87" s="5">
        <v>99.3</v>
      </c>
      <c r="E87" s="5">
        <v>93.4</v>
      </c>
      <c r="F87" s="5">
        <v>96.3</v>
      </c>
      <c r="G87" s="5">
        <v>95.2</v>
      </c>
      <c r="H87" s="5">
        <v>-0.1</v>
      </c>
      <c r="I87" s="5">
        <v>1.8</v>
      </c>
      <c r="J87" s="5">
        <v>4.4000000000000004</v>
      </c>
      <c r="K87" s="5">
        <v>-2.4</v>
      </c>
    </row>
    <row r="88" spans="1:11" ht="15" customHeight="1" x14ac:dyDescent="0.25">
      <c r="A88" s="6" t="s">
        <v>168</v>
      </c>
      <c r="B88" s="6">
        <v>101.1</v>
      </c>
      <c r="C88" s="6">
        <v>98.2</v>
      </c>
      <c r="D88" s="6">
        <v>103.4</v>
      </c>
      <c r="E88" s="6">
        <v>97.4</v>
      </c>
      <c r="F88" s="6">
        <v>103.2</v>
      </c>
      <c r="G88" s="6">
        <v>101.2</v>
      </c>
      <c r="H88" s="6">
        <v>1.7</v>
      </c>
      <c r="I88" s="6">
        <v>1.4</v>
      </c>
      <c r="J88" s="6">
        <v>2</v>
      </c>
      <c r="K88" s="6">
        <v>0.8</v>
      </c>
    </row>
    <row r="89" spans="1:11" ht="15" customHeight="1" x14ac:dyDescent="0.25">
      <c r="A89" s="5" t="s">
        <v>169</v>
      </c>
      <c r="B89" s="5">
        <v>101.9</v>
      </c>
      <c r="C89" s="5">
        <v>99.1</v>
      </c>
      <c r="D89" s="5">
        <v>104.2</v>
      </c>
      <c r="E89" s="5">
        <v>98.5</v>
      </c>
      <c r="F89" s="5">
        <v>100</v>
      </c>
      <c r="G89" s="5">
        <v>103.8</v>
      </c>
      <c r="H89" s="5">
        <v>2.6</v>
      </c>
      <c r="I89" s="5">
        <v>3.2</v>
      </c>
      <c r="J89" s="5">
        <v>6.2</v>
      </c>
      <c r="K89" s="5">
        <v>3.5</v>
      </c>
    </row>
    <row r="90" spans="1:11" ht="15" customHeight="1" x14ac:dyDescent="0.25">
      <c r="A90" s="6" t="s">
        <v>170</v>
      </c>
      <c r="B90" s="6">
        <v>102</v>
      </c>
      <c r="C90" s="6">
        <v>99.3</v>
      </c>
      <c r="D90" s="6">
        <v>103.1</v>
      </c>
      <c r="E90" s="6">
        <v>98.3</v>
      </c>
      <c r="F90" s="6">
        <v>100</v>
      </c>
      <c r="G90" s="6">
        <v>106.5</v>
      </c>
      <c r="H90" s="6">
        <v>3.4</v>
      </c>
      <c r="I90" s="6">
        <v>4.5999999999999996</v>
      </c>
      <c r="J90" s="6">
        <v>8.1999999999999993</v>
      </c>
      <c r="K90" s="6">
        <v>5.3</v>
      </c>
    </row>
    <row r="91" spans="1:11" ht="15" customHeight="1" x14ac:dyDescent="0.25">
      <c r="A91" s="5" t="s">
        <v>171</v>
      </c>
      <c r="B91" s="5">
        <v>100.6</v>
      </c>
      <c r="C91" s="5">
        <v>97.7</v>
      </c>
      <c r="D91" s="5">
        <v>101</v>
      </c>
      <c r="E91" s="5">
        <v>94</v>
      </c>
      <c r="F91" s="5">
        <v>97.5</v>
      </c>
      <c r="G91" s="5">
        <v>106.4</v>
      </c>
      <c r="H91" s="5">
        <v>-0.6</v>
      </c>
      <c r="I91" s="5">
        <v>2.1</v>
      </c>
      <c r="J91" s="5">
        <v>2.9</v>
      </c>
      <c r="K91" s="5">
        <v>-4.3</v>
      </c>
    </row>
    <row r="92" spans="1:11" ht="15" customHeight="1" x14ac:dyDescent="0.25">
      <c r="A92" s="6" t="s">
        <v>172</v>
      </c>
      <c r="B92" s="6">
        <v>100.9</v>
      </c>
      <c r="C92" s="6">
        <v>98.6</v>
      </c>
      <c r="D92" s="6">
        <v>101.5</v>
      </c>
      <c r="E92" s="6">
        <v>96.1</v>
      </c>
      <c r="F92" s="6">
        <v>98.5</v>
      </c>
      <c r="G92" s="6">
        <v>106.7</v>
      </c>
      <c r="H92" s="6">
        <v>2</v>
      </c>
      <c r="I92" s="6">
        <v>4.8</v>
      </c>
      <c r="J92" s="6">
        <v>9</v>
      </c>
      <c r="K92" s="6">
        <v>0.3</v>
      </c>
    </row>
    <row r="93" spans="1:11" ht="15" customHeight="1" x14ac:dyDescent="0.25">
      <c r="A93" s="5" t="s">
        <v>173</v>
      </c>
      <c r="B93" s="5">
        <v>102.3</v>
      </c>
      <c r="C93" s="5">
        <v>100.9</v>
      </c>
      <c r="D93" s="5">
        <v>102</v>
      </c>
      <c r="E93" s="5">
        <v>99.2</v>
      </c>
      <c r="F93" s="5">
        <v>99.1</v>
      </c>
      <c r="G93" s="5">
        <v>108.6</v>
      </c>
      <c r="H93" s="5">
        <v>2.8</v>
      </c>
      <c r="I93" s="5">
        <v>6.1</v>
      </c>
      <c r="J93" s="5">
        <v>0.3</v>
      </c>
      <c r="K93" s="5">
        <v>3.7</v>
      </c>
    </row>
    <row r="94" spans="1:11" ht="15" customHeight="1" x14ac:dyDescent="0.25">
      <c r="A94" s="6" t="s">
        <v>174</v>
      </c>
      <c r="B94" s="6">
        <v>101.7</v>
      </c>
      <c r="C94" s="6">
        <v>99.3</v>
      </c>
      <c r="D94" s="6">
        <v>103.1</v>
      </c>
      <c r="E94" s="6">
        <v>99.4</v>
      </c>
      <c r="F94" s="6">
        <v>99.4</v>
      </c>
      <c r="G94" s="6">
        <v>110.1</v>
      </c>
      <c r="H94" s="6">
        <v>2.2999999999999998</v>
      </c>
      <c r="I94" s="6">
        <v>3.5</v>
      </c>
      <c r="J94" s="6">
        <v>4.5</v>
      </c>
      <c r="K94" s="6">
        <v>2.4</v>
      </c>
    </row>
    <row r="95" spans="1:11" ht="15" customHeight="1" x14ac:dyDescent="0.25">
      <c r="A95" s="5" t="s">
        <v>175</v>
      </c>
      <c r="B95" s="5">
        <v>102.8</v>
      </c>
      <c r="C95" s="5">
        <v>99.7</v>
      </c>
      <c r="D95" s="5">
        <v>104.6</v>
      </c>
      <c r="E95" s="5">
        <v>102.9</v>
      </c>
      <c r="F95" s="5">
        <v>99.8</v>
      </c>
      <c r="G95" s="5">
        <v>111.3</v>
      </c>
      <c r="H95" s="5">
        <v>3.7</v>
      </c>
      <c r="I95" s="5">
        <v>5.0999999999999996</v>
      </c>
      <c r="J95" s="5">
        <v>4.2</v>
      </c>
      <c r="K95" s="5">
        <v>6.9</v>
      </c>
    </row>
    <row r="96" spans="1:11" ht="15" customHeight="1" x14ac:dyDescent="0.25">
      <c r="A96" s="6" t="s">
        <v>176</v>
      </c>
      <c r="B96" s="6">
        <v>102.1</v>
      </c>
      <c r="C96" s="6">
        <v>99.1</v>
      </c>
      <c r="D96" s="6">
        <v>104.6</v>
      </c>
      <c r="E96" s="6">
        <v>100.4</v>
      </c>
      <c r="F96" s="6">
        <v>102.4</v>
      </c>
      <c r="G96" s="6">
        <v>108.9</v>
      </c>
      <c r="H96" s="6">
        <v>4</v>
      </c>
      <c r="I96" s="6">
        <v>5.5</v>
      </c>
      <c r="J96" s="6">
        <v>1.8</v>
      </c>
      <c r="K96" s="6">
        <v>6.1</v>
      </c>
    </row>
    <row r="97" spans="1:11" ht="15" customHeight="1" x14ac:dyDescent="0.25">
      <c r="A97" s="5" t="s">
        <v>177</v>
      </c>
      <c r="B97" s="5">
        <v>101.7</v>
      </c>
      <c r="C97" s="5">
        <v>98.8</v>
      </c>
      <c r="D97" s="5">
        <v>104.8</v>
      </c>
      <c r="E97" s="5">
        <v>101.9</v>
      </c>
      <c r="F97" s="5">
        <v>103.2</v>
      </c>
      <c r="G97" s="5">
        <v>104.9</v>
      </c>
      <c r="H97" s="5">
        <v>3.4</v>
      </c>
      <c r="I97" s="5">
        <v>4.7</v>
      </c>
      <c r="J97" s="5">
        <v>4.2</v>
      </c>
      <c r="K97" s="5">
        <v>11.6</v>
      </c>
    </row>
    <row r="98" spans="1:11" ht="15" customHeight="1" x14ac:dyDescent="0.25">
      <c r="A98" s="6" t="s">
        <v>178</v>
      </c>
      <c r="B98" s="6">
        <v>101.7</v>
      </c>
      <c r="C98" s="6">
        <v>98.7</v>
      </c>
      <c r="D98" s="6">
        <v>103.3</v>
      </c>
      <c r="E98" s="6">
        <v>99.8</v>
      </c>
      <c r="F98" s="6">
        <v>99.4</v>
      </c>
      <c r="G98" s="6">
        <v>109.9</v>
      </c>
      <c r="H98" s="6">
        <v>3.3</v>
      </c>
      <c r="I98" s="6">
        <v>4.5999999999999996</v>
      </c>
      <c r="J98" s="6">
        <v>1</v>
      </c>
      <c r="K98" s="6">
        <v>5.4</v>
      </c>
    </row>
    <row r="99" spans="1:11" ht="15" customHeight="1" x14ac:dyDescent="0.25">
      <c r="A99" s="5" t="s">
        <v>179</v>
      </c>
      <c r="B99" s="5">
        <v>103.6</v>
      </c>
      <c r="C99" s="5">
        <v>99.7</v>
      </c>
      <c r="D99" s="5">
        <v>106.3</v>
      </c>
      <c r="E99" s="5">
        <v>101.1</v>
      </c>
      <c r="F99" s="5">
        <v>103.4</v>
      </c>
      <c r="G99" s="5">
        <v>111.9</v>
      </c>
      <c r="H99" s="5">
        <v>5.5</v>
      </c>
      <c r="I99" s="5">
        <v>3.7</v>
      </c>
      <c r="J99" s="5">
        <v>0.4</v>
      </c>
      <c r="K99" s="5">
        <v>8.6999999999999993</v>
      </c>
    </row>
    <row r="100" spans="1:11" ht="15" customHeight="1" x14ac:dyDescent="0.25">
      <c r="A100" s="6" t="s">
        <v>180</v>
      </c>
      <c r="B100" s="6">
        <v>102.7</v>
      </c>
      <c r="C100" s="6">
        <v>99</v>
      </c>
      <c r="D100" s="6">
        <v>105.5</v>
      </c>
      <c r="E100" s="6">
        <v>100.2</v>
      </c>
      <c r="F100" s="6">
        <v>99.7</v>
      </c>
      <c r="G100" s="6">
        <v>110.5</v>
      </c>
      <c r="H100" s="6">
        <v>2.5</v>
      </c>
      <c r="I100" s="6">
        <v>3.5</v>
      </c>
      <c r="J100" s="6">
        <v>1</v>
      </c>
      <c r="K100" s="6">
        <v>4</v>
      </c>
    </row>
    <row r="101" spans="1:11" ht="15" customHeight="1" x14ac:dyDescent="0.25">
      <c r="A101" s="5" t="s">
        <v>181</v>
      </c>
      <c r="B101" s="5">
        <v>103.4</v>
      </c>
      <c r="C101" s="5">
        <v>98.1</v>
      </c>
      <c r="D101" s="5">
        <v>106.2</v>
      </c>
      <c r="E101" s="5">
        <v>100.7</v>
      </c>
      <c r="F101" s="5">
        <v>101.1</v>
      </c>
      <c r="G101" s="5">
        <v>111.7</v>
      </c>
      <c r="H101" s="5">
        <v>4.0999999999999996</v>
      </c>
      <c r="I101" s="5">
        <v>2.7</v>
      </c>
      <c r="J101" s="5">
        <v>3.3</v>
      </c>
      <c r="K101" s="5">
        <v>2.6</v>
      </c>
    </row>
    <row r="102" spans="1:11" ht="15" customHeight="1" x14ac:dyDescent="0.25">
      <c r="A102" s="6" t="s">
        <v>182</v>
      </c>
      <c r="B102" s="6">
        <v>102</v>
      </c>
      <c r="C102" s="6">
        <v>98.9</v>
      </c>
      <c r="D102" s="6">
        <v>105.1</v>
      </c>
      <c r="E102" s="6">
        <v>98.3</v>
      </c>
      <c r="F102" s="6">
        <v>101</v>
      </c>
      <c r="G102" s="6">
        <v>109.5</v>
      </c>
      <c r="H102" s="6">
        <v>4.5</v>
      </c>
      <c r="I102" s="6">
        <v>3</v>
      </c>
      <c r="J102" s="6">
        <v>1.5</v>
      </c>
      <c r="K102" s="6">
        <v>1.6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2"/>
  <sheetViews>
    <sheetView showGridLines="0" zoomScaleNormal="100" workbookViewId="0">
      <selection activeCell="K14" sqref="K14"/>
    </sheetView>
  </sheetViews>
  <sheetFormatPr defaultColWidth="8.7109375" defaultRowHeight="15" x14ac:dyDescent="0.25"/>
  <cols>
    <col min="1" max="2" width="18" customWidth="1"/>
  </cols>
  <sheetData>
    <row r="1" spans="1:2" ht="31.5" customHeight="1" x14ac:dyDescent="0.25">
      <c r="A1" s="86" t="s">
        <v>183</v>
      </c>
      <c r="B1" s="86"/>
    </row>
    <row r="2" spans="1:2" ht="15" customHeight="1" x14ac:dyDescent="0.25">
      <c r="A2" s="4" t="s">
        <v>72</v>
      </c>
      <c r="B2" s="4" t="s">
        <v>184</v>
      </c>
    </row>
    <row r="3" spans="1:2" ht="15" customHeight="1" x14ac:dyDescent="0.25">
      <c r="A3" s="5" t="s">
        <v>83</v>
      </c>
      <c r="B3" s="5">
        <v>3</v>
      </c>
    </row>
    <row r="4" spans="1:2" ht="15" customHeight="1" x14ac:dyDescent="0.25">
      <c r="A4" s="6" t="s">
        <v>84</v>
      </c>
      <c r="B4" s="6">
        <v>2.7</v>
      </c>
    </row>
    <row r="5" spans="1:2" ht="15" customHeight="1" x14ac:dyDescent="0.25">
      <c r="A5" s="5" t="s">
        <v>85</v>
      </c>
      <c r="B5" s="5">
        <v>2.5</v>
      </c>
    </row>
    <row r="6" spans="1:2" ht="15" customHeight="1" x14ac:dyDescent="0.25">
      <c r="A6" s="6" t="s">
        <v>86</v>
      </c>
      <c r="B6" s="6">
        <v>2.4</v>
      </c>
    </row>
    <row r="7" spans="1:2" ht="15" customHeight="1" x14ac:dyDescent="0.25">
      <c r="A7" s="5" t="s">
        <v>87</v>
      </c>
      <c r="B7" s="5">
        <v>2.4</v>
      </c>
    </row>
    <row r="8" spans="1:2" ht="15" customHeight="1" x14ac:dyDescent="0.25">
      <c r="A8" s="6" t="s">
        <v>88</v>
      </c>
      <c r="B8" s="6">
        <v>2.4</v>
      </c>
    </row>
    <row r="9" spans="1:2" ht="15" customHeight="1" x14ac:dyDescent="0.25">
      <c r="A9" s="5" t="s">
        <v>89</v>
      </c>
      <c r="B9" s="5">
        <v>2.5</v>
      </c>
    </row>
    <row r="10" spans="1:2" ht="15" customHeight="1" x14ac:dyDescent="0.25">
      <c r="A10" s="6" t="s">
        <v>90</v>
      </c>
      <c r="B10" s="6">
        <v>2.7</v>
      </c>
    </row>
    <row r="11" spans="1:2" ht="15" customHeight="1" x14ac:dyDescent="0.25">
      <c r="A11" s="5" t="s">
        <v>91</v>
      </c>
      <c r="B11" s="5">
        <v>2.4</v>
      </c>
    </row>
    <row r="12" spans="1:2" ht="15" customHeight="1" x14ac:dyDescent="0.25">
      <c r="A12" s="6" t="s">
        <v>92</v>
      </c>
      <c r="B12" s="6">
        <v>2.4</v>
      </c>
    </row>
    <row r="13" spans="1:2" ht="15" customHeight="1" x14ac:dyDescent="0.25">
      <c r="A13" s="5" t="s">
        <v>93</v>
      </c>
      <c r="B13" s="5">
        <v>2.2999999999999998</v>
      </c>
    </row>
    <row r="14" spans="1:2" ht="15" customHeight="1" x14ac:dyDescent="0.25">
      <c r="A14" s="6" t="s">
        <v>94</v>
      </c>
      <c r="B14" s="6">
        <v>2.1</v>
      </c>
    </row>
    <row r="15" spans="1:2" ht="15" customHeight="1" x14ac:dyDescent="0.25">
      <c r="A15" s="5" t="s">
        <v>95</v>
      </c>
      <c r="B15" s="5">
        <v>1.8</v>
      </c>
    </row>
    <row r="16" spans="1:2" ht="15" customHeight="1" x14ac:dyDescent="0.25">
      <c r="A16" s="6" t="s">
        <v>96</v>
      </c>
      <c r="B16" s="6">
        <v>1.9</v>
      </c>
    </row>
    <row r="17" spans="1:2" ht="15" customHeight="1" x14ac:dyDescent="0.25">
      <c r="A17" s="5" t="s">
        <v>97</v>
      </c>
      <c r="B17" s="5">
        <v>1.9</v>
      </c>
    </row>
    <row r="18" spans="1:2" ht="15" customHeight="1" x14ac:dyDescent="0.25">
      <c r="A18" s="6" t="s">
        <v>98</v>
      </c>
      <c r="B18" s="6">
        <v>2.1</v>
      </c>
    </row>
    <row r="19" spans="1:2" ht="15" customHeight="1" x14ac:dyDescent="0.25">
      <c r="A19" s="5" t="s">
        <v>99</v>
      </c>
      <c r="B19" s="5">
        <v>2</v>
      </c>
    </row>
    <row r="20" spans="1:2" ht="15" customHeight="1" x14ac:dyDescent="0.25">
      <c r="A20" s="6" t="s">
        <v>100</v>
      </c>
      <c r="B20" s="6">
        <v>2</v>
      </c>
    </row>
    <row r="21" spans="1:2" ht="15" customHeight="1" x14ac:dyDescent="0.25">
      <c r="A21" s="5" t="s">
        <v>101</v>
      </c>
      <c r="B21" s="5">
        <v>2.1</v>
      </c>
    </row>
    <row r="22" spans="1:2" ht="15" customHeight="1" x14ac:dyDescent="0.25">
      <c r="A22" s="6" t="s">
        <v>102</v>
      </c>
      <c r="B22" s="6">
        <v>1.7</v>
      </c>
    </row>
    <row r="23" spans="1:2" ht="15" customHeight="1" x14ac:dyDescent="0.25">
      <c r="A23" s="5" t="s">
        <v>103</v>
      </c>
      <c r="B23" s="5">
        <v>1.7</v>
      </c>
    </row>
    <row r="24" spans="1:2" ht="15" customHeight="1" x14ac:dyDescent="0.25">
      <c r="A24" s="6" t="s">
        <v>104</v>
      </c>
      <c r="B24" s="6">
        <v>1.5</v>
      </c>
    </row>
    <row r="25" spans="1:2" ht="15" customHeight="1" x14ac:dyDescent="0.25">
      <c r="A25" s="5" t="s">
        <v>105</v>
      </c>
      <c r="B25" s="5">
        <v>1.5</v>
      </c>
    </row>
    <row r="26" spans="1:2" ht="15" customHeight="1" x14ac:dyDescent="0.25">
      <c r="A26" s="6" t="s">
        <v>106</v>
      </c>
      <c r="B26" s="6">
        <v>1.3</v>
      </c>
    </row>
    <row r="27" spans="1:2" ht="15" customHeight="1" x14ac:dyDescent="0.25">
      <c r="A27" s="5" t="s">
        <v>107</v>
      </c>
      <c r="B27" s="5">
        <v>1.8</v>
      </c>
    </row>
    <row r="28" spans="1:2" ht="15" customHeight="1" x14ac:dyDescent="0.25">
      <c r="A28" s="6" t="s">
        <v>108</v>
      </c>
      <c r="B28" s="6">
        <v>1.7</v>
      </c>
    </row>
    <row r="29" spans="1:2" ht="15" customHeight="1" x14ac:dyDescent="0.25">
      <c r="A29" s="5" t="s">
        <v>109</v>
      </c>
      <c r="B29" s="5">
        <v>1.5</v>
      </c>
    </row>
    <row r="30" spans="1:2" ht="15" customHeight="1" x14ac:dyDescent="0.25">
      <c r="A30" s="6" t="s">
        <v>110</v>
      </c>
      <c r="B30" s="6">
        <v>0.8</v>
      </c>
    </row>
    <row r="31" spans="1:2" ht="15" customHeight="1" x14ac:dyDescent="0.25">
      <c r="A31" s="5" t="s">
        <v>111</v>
      </c>
      <c r="B31" s="5">
        <v>0.5</v>
      </c>
    </row>
    <row r="32" spans="1:2" ht="15" customHeight="1" x14ac:dyDescent="0.25">
      <c r="A32" s="6" t="s">
        <v>112</v>
      </c>
      <c r="B32" s="6">
        <v>0.6</v>
      </c>
    </row>
    <row r="33" spans="1:2" ht="15" customHeight="1" x14ac:dyDescent="0.25">
      <c r="A33" s="5" t="s">
        <v>113</v>
      </c>
      <c r="B33" s="5">
        <v>1</v>
      </c>
    </row>
    <row r="34" spans="1:2" ht="15" customHeight="1" x14ac:dyDescent="0.25">
      <c r="A34" s="6" t="s">
        <v>114</v>
      </c>
      <c r="B34" s="6">
        <v>0.2</v>
      </c>
    </row>
    <row r="35" spans="1:2" ht="15" customHeight="1" x14ac:dyDescent="0.25">
      <c r="A35" s="5" t="s">
        <v>115</v>
      </c>
      <c r="B35" s="5">
        <v>0.5</v>
      </c>
    </row>
    <row r="36" spans="1:2" ht="15" customHeight="1" x14ac:dyDescent="0.25">
      <c r="A36" s="6" t="s">
        <v>116</v>
      </c>
      <c r="B36" s="6">
        <v>0.7</v>
      </c>
    </row>
    <row r="37" spans="1:2" ht="15" customHeight="1" x14ac:dyDescent="0.25">
      <c r="A37" s="5" t="s">
        <v>117</v>
      </c>
      <c r="B37" s="5">
        <v>0.3</v>
      </c>
    </row>
    <row r="38" spans="1:2" ht="15" customHeight="1" x14ac:dyDescent="0.25">
      <c r="A38" s="6" t="s">
        <v>118</v>
      </c>
      <c r="B38" s="6">
        <v>0.6</v>
      </c>
    </row>
    <row r="39" spans="1:2" ht="15" customHeight="1" x14ac:dyDescent="0.25">
      <c r="A39" s="5" t="s">
        <v>119</v>
      </c>
      <c r="B39" s="5">
        <v>0.7</v>
      </c>
    </row>
    <row r="40" spans="1:2" ht="15" customHeight="1" x14ac:dyDescent="0.25">
      <c r="A40" s="6" t="s">
        <v>120</v>
      </c>
      <c r="B40" s="6">
        <v>0.4</v>
      </c>
    </row>
    <row r="41" spans="1:2" ht="15" customHeight="1" x14ac:dyDescent="0.25">
      <c r="A41" s="5" t="s">
        <v>121</v>
      </c>
      <c r="B41" s="5">
        <v>0.7</v>
      </c>
    </row>
    <row r="42" spans="1:2" ht="15" customHeight="1" x14ac:dyDescent="0.25">
      <c r="A42" s="6" t="s">
        <v>122</v>
      </c>
      <c r="B42" s="6">
        <v>1.5</v>
      </c>
    </row>
    <row r="43" spans="1:2" ht="15" customHeight="1" x14ac:dyDescent="0.25">
      <c r="A43" s="5" t="s">
        <v>123</v>
      </c>
      <c r="B43" s="5">
        <v>2.1</v>
      </c>
    </row>
    <row r="44" spans="1:2" ht="15" customHeight="1" x14ac:dyDescent="0.25">
      <c r="A44" s="6" t="s">
        <v>124</v>
      </c>
      <c r="B44" s="6">
        <v>2.5</v>
      </c>
    </row>
    <row r="45" spans="1:2" ht="15" customHeight="1" x14ac:dyDescent="0.25">
      <c r="A45" s="5" t="s">
        <v>125</v>
      </c>
      <c r="B45" s="5">
        <v>2</v>
      </c>
    </row>
    <row r="46" spans="1:2" ht="15" customHeight="1" x14ac:dyDescent="0.25">
      <c r="A46" s="6" t="s">
        <v>126</v>
      </c>
      <c r="B46" s="6">
        <v>3.2</v>
      </c>
    </row>
    <row r="47" spans="1:2" ht="15" customHeight="1" x14ac:dyDescent="0.25">
      <c r="A47" s="5" t="s">
        <v>127</v>
      </c>
      <c r="B47" s="5">
        <v>3.1</v>
      </c>
    </row>
    <row r="48" spans="1:2" ht="15" customHeight="1" x14ac:dyDescent="0.25">
      <c r="A48" s="6" t="s">
        <v>128</v>
      </c>
      <c r="B48" s="6">
        <v>4.2</v>
      </c>
    </row>
    <row r="49" spans="1:2" ht="15" customHeight="1" x14ac:dyDescent="0.25">
      <c r="A49" s="5" t="s">
        <v>129</v>
      </c>
      <c r="B49" s="5">
        <v>5.0999999999999996</v>
      </c>
    </row>
    <row r="50" spans="1:2" ht="15" customHeight="1" x14ac:dyDescent="0.25">
      <c r="A50" s="6" t="s">
        <v>130</v>
      </c>
      <c r="B50" s="6">
        <v>5.4</v>
      </c>
    </row>
    <row r="51" spans="1:2" ht="15" customHeight="1" x14ac:dyDescent="0.25">
      <c r="A51" s="5" t="s">
        <v>131</v>
      </c>
      <c r="B51" s="5">
        <v>5.5</v>
      </c>
    </row>
    <row r="52" spans="1:2" ht="15" customHeight="1" x14ac:dyDescent="0.25">
      <c r="A52" s="6" t="s">
        <v>132</v>
      </c>
      <c r="B52" s="6">
        <v>6.2</v>
      </c>
    </row>
    <row r="53" spans="1:2" ht="15" customHeight="1" x14ac:dyDescent="0.25">
      <c r="A53" s="5" t="s">
        <v>133</v>
      </c>
      <c r="B53" s="5">
        <v>7</v>
      </c>
    </row>
    <row r="54" spans="1:2" ht="15" customHeight="1" x14ac:dyDescent="0.25">
      <c r="A54" s="6" t="s">
        <v>134</v>
      </c>
      <c r="B54" s="6">
        <v>9</v>
      </c>
    </row>
    <row r="55" spans="1:2" ht="15" customHeight="1" x14ac:dyDescent="0.25">
      <c r="A55" s="5" t="s">
        <v>135</v>
      </c>
      <c r="B55" s="5">
        <v>9.1</v>
      </c>
    </row>
    <row r="56" spans="1:2" ht="15" customHeight="1" x14ac:dyDescent="0.25">
      <c r="A56" s="6" t="s">
        <v>136</v>
      </c>
      <c r="B56" s="6">
        <v>9.4</v>
      </c>
    </row>
    <row r="57" spans="1:2" ht="15" customHeight="1" x14ac:dyDescent="0.25">
      <c r="A57" s="5" t="s">
        <v>137</v>
      </c>
      <c r="B57" s="5">
        <v>10.1</v>
      </c>
    </row>
    <row r="58" spans="1:2" ht="15" customHeight="1" x14ac:dyDescent="0.25">
      <c r="A58" s="6" t="s">
        <v>138</v>
      </c>
      <c r="B58" s="6">
        <v>9.9</v>
      </c>
    </row>
    <row r="59" spans="1:2" ht="15" customHeight="1" x14ac:dyDescent="0.25">
      <c r="A59" s="5" t="s">
        <v>139</v>
      </c>
      <c r="B59" s="5">
        <v>10.1</v>
      </c>
    </row>
    <row r="60" spans="1:2" ht="15" customHeight="1" x14ac:dyDescent="0.25">
      <c r="A60" s="6" t="s">
        <v>140</v>
      </c>
      <c r="B60" s="6">
        <v>11.1</v>
      </c>
    </row>
    <row r="61" spans="1:2" ht="15" customHeight="1" x14ac:dyDescent="0.25">
      <c r="A61" s="5" t="s">
        <v>141</v>
      </c>
      <c r="B61" s="5">
        <v>10.7</v>
      </c>
    </row>
    <row r="62" spans="1:2" ht="15" customHeight="1" x14ac:dyDescent="0.25">
      <c r="A62" s="6" t="s">
        <v>142</v>
      </c>
      <c r="B62" s="6">
        <v>10.5</v>
      </c>
    </row>
    <row r="63" spans="1:2" ht="15" customHeight="1" x14ac:dyDescent="0.25">
      <c r="A63" s="5" t="s">
        <v>143</v>
      </c>
      <c r="B63" s="5">
        <v>10.1</v>
      </c>
    </row>
    <row r="64" spans="1:2" ht="15" customHeight="1" x14ac:dyDescent="0.25">
      <c r="A64" s="6" t="s">
        <v>144</v>
      </c>
      <c r="B64" s="6">
        <v>10.4</v>
      </c>
    </row>
    <row r="65" spans="1:2" ht="15" customHeight="1" x14ac:dyDescent="0.25">
      <c r="A65" s="5" t="s">
        <v>145</v>
      </c>
      <c r="B65" s="5">
        <v>10.1</v>
      </c>
    </row>
    <row r="66" spans="1:2" ht="15" customHeight="1" x14ac:dyDescent="0.25">
      <c r="A66" s="6" t="s">
        <v>146</v>
      </c>
      <c r="B66" s="6">
        <v>8.6999999999999993</v>
      </c>
    </row>
    <row r="67" spans="1:2" ht="15" customHeight="1" x14ac:dyDescent="0.25">
      <c r="A67" s="5" t="s">
        <v>147</v>
      </c>
      <c r="B67" s="5">
        <v>8.6999999999999993</v>
      </c>
    </row>
    <row r="68" spans="1:2" ht="15" customHeight="1" x14ac:dyDescent="0.25">
      <c r="A68" s="6" t="s">
        <v>148</v>
      </c>
      <c r="B68" s="6">
        <v>7.9</v>
      </c>
    </row>
    <row r="69" spans="1:2" ht="15" customHeight="1" x14ac:dyDescent="0.25">
      <c r="A69" s="5" t="s">
        <v>149</v>
      </c>
      <c r="B69" s="5">
        <v>6.8</v>
      </c>
    </row>
    <row r="70" spans="1:2" ht="15" customHeight="1" x14ac:dyDescent="0.25">
      <c r="A70" s="6" t="s">
        <v>150</v>
      </c>
      <c r="B70" s="6">
        <v>6.7</v>
      </c>
    </row>
    <row r="71" spans="1:2" ht="15" customHeight="1" x14ac:dyDescent="0.25">
      <c r="A71" s="5" t="s">
        <v>151</v>
      </c>
      <c r="B71" s="5">
        <v>6.7</v>
      </c>
    </row>
    <row r="72" spans="1:2" ht="15" customHeight="1" x14ac:dyDescent="0.25">
      <c r="A72" s="6" t="s">
        <v>152</v>
      </c>
      <c r="B72" s="6">
        <v>4.5999999999999996</v>
      </c>
    </row>
    <row r="73" spans="1:2" ht="15" customHeight="1" x14ac:dyDescent="0.25">
      <c r="A73" s="5" t="s">
        <v>153</v>
      </c>
      <c r="B73" s="5">
        <v>3.9</v>
      </c>
    </row>
    <row r="74" spans="1:2" ht="15" customHeight="1" x14ac:dyDescent="0.25">
      <c r="A74" s="6" t="s">
        <v>154</v>
      </c>
      <c r="B74" s="6">
        <v>4</v>
      </c>
    </row>
    <row r="75" spans="1:2" ht="15" customHeight="1" x14ac:dyDescent="0.25">
      <c r="A75" s="5" t="s">
        <v>155</v>
      </c>
      <c r="B75" s="5">
        <v>4</v>
      </c>
    </row>
    <row r="76" spans="1:2" ht="15" customHeight="1" x14ac:dyDescent="0.25">
      <c r="A76" s="6" t="s">
        <v>156</v>
      </c>
      <c r="B76" s="6">
        <v>3.4</v>
      </c>
    </row>
    <row r="77" spans="1:2" ht="15" customHeight="1" x14ac:dyDescent="0.25">
      <c r="A77" s="5" t="s">
        <v>157</v>
      </c>
      <c r="B77" s="5">
        <v>3.2</v>
      </c>
    </row>
    <row r="78" spans="1:2" ht="15" customHeight="1" x14ac:dyDescent="0.25">
      <c r="A78" s="6" t="s">
        <v>158</v>
      </c>
      <c r="B78" s="6">
        <v>2.2999999999999998</v>
      </c>
    </row>
    <row r="79" spans="1:2" ht="15" customHeight="1" x14ac:dyDescent="0.25">
      <c r="A79" s="5" t="s">
        <v>159</v>
      </c>
      <c r="B79" s="5">
        <v>2</v>
      </c>
    </row>
    <row r="80" spans="1:2" ht="15" customHeight="1" x14ac:dyDescent="0.25">
      <c r="A80" s="6" t="s">
        <v>160</v>
      </c>
      <c r="B80" s="6">
        <v>2</v>
      </c>
    </row>
    <row r="81" spans="1:2" ht="15" customHeight="1" x14ac:dyDescent="0.25">
      <c r="A81" s="5" t="s">
        <v>161</v>
      </c>
      <c r="B81" s="5">
        <v>2.2000000000000002</v>
      </c>
    </row>
    <row r="82" spans="1:2" ht="15" customHeight="1" x14ac:dyDescent="0.25">
      <c r="A82" s="6" t="s">
        <v>162</v>
      </c>
      <c r="B82" s="6">
        <v>2.2000000000000002</v>
      </c>
    </row>
    <row r="83" spans="1:2" ht="15" customHeight="1" x14ac:dyDescent="0.25">
      <c r="A83" s="5" t="s">
        <v>163</v>
      </c>
      <c r="B83" s="5">
        <v>1.7</v>
      </c>
    </row>
    <row r="84" spans="1:2" ht="15" customHeight="1" x14ac:dyDescent="0.25">
      <c r="A84" s="6" t="s">
        <v>164</v>
      </c>
      <c r="B84" s="6">
        <v>2.2999999999999998</v>
      </c>
    </row>
    <row r="85" spans="1:2" ht="15" customHeight="1" x14ac:dyDescent="0.25">
      <c r="A85" s="5" t="s">
        <v>165</v>
      </c>
      <c r="B85" s="5">
        <v>2.6</v>
      </c>
    </row>
    <row r="86" spans="1:2" ht="15" customHeight="1" x14ac:dyDescent="0.25">
      <c r="A86" s="6" t="s">
        <v>166</v>
      </c>
      <c r="B86" s="6">
        <v>2.5</v>
      </c>
    </row>
    <row r="87" spans="1:2" ht="15" customHeight="1" x14ac:dyDescent="0.25">
      <c r="A87" s="5" t="s">
        <v>167</v>
      </c>
      <c r="B87" s="5">
        <v>3</v>
      </c>
    </row>
    <row r="88" spans="1:2" ht="15" customHeight="1" x14ac:dyDescent="0.25">
      <c r="A88" s="6" t="s">
        <v>168</v>
      </c>
      <c r="B88" s="6">
        <v>2.8</v>
      </c>
    </row>
    <row r="89" spans="1:2" ht="15" customHeight="1" x14ac:dyDescent="0.25">
      <c r="A89" s="5" t="s">
        <v>169</v>
      </c>
      <c r="B89" s="5">
        <v>2.6</v>
      </c>
    </row>
    <row r="90" spans="1:2" ht="15" customHeight="1" x14ac:dyDescent="0.25">
      <c r="A90" s="6" t="s">
        <v>170</v>
      </c>
      <c r="B90" s="6">
        <v>3.5</v>
      </c>
    </row>
    <row r="91" spans="1:2" ht="15" customHeight="1" x14ac:dyDescent="0.25">
      <c r="A91" s="5" t="s">
        <v>171</v>
      </c>
      <c r="B91" s="5">
        <v>3.4</v>
      </c>
    </row>
    <row r="92" spans="1:2" ht="15" customHeight="1" x14ac:dyDescent="0.25">
      <c r="A92" s="6" t="s">
        <v>172</v>
      </c>
      <c r="B92" s="6">
        <v>3.6</v>
      </c>
    </row>
    <row r="93" spans="1:2" ht="15" customHeight="1" x14ac:dyDescent="0.25">
      <c r="A93" s="5" t="s">
        <v>173</v>
      </c>
      <c r="B93" s="5">
        <v>3.8</v>
      </c>
    </row>
    <row r="94" spans="1:2" ht="15" customHeight="1" x14ac:dyDescent="0.25">
      <c r="A94" s="6" t="s">
        <v>174</v>
      </c>
      <c r="B94" s="6">
        <v>3.8</v>
      </c>
    </row>
    <row r="95" spans="1:2" ht="15" customHeight="1" x14ac:dyDescent="0.25">
      <c r="A95" s="5" t="s">
        <v>175</v>
      </c>
      <c r="B95" s="5">
        <v>3.8</v>
      </c>
    </row>
    <row r="96" spans="1:2" ht="15" customHeight="1" x14ac:dyDescent="0.25">
      <c r="A96" s="6" t="s">
        <v>176</v>
      </c>
      <c r="B96" s="6">
        <v>3.6</v>
      </c>
    </row>
    <row r="97" spans="1:2" ht="15" customHeight="1" x14ac:dyDescent="0.25">
      <c r="A97" s="5" t="s">
        <v>177</v>
      </c>
      <c r="B97" s="5">
        <v>3.2</v>
      </c>
    </row>
    <row r="98" spans="1:2" ht="15" customHeight="1" x14ac:dyDescent="0.25">
      <c r="A98" s="6" t="s">
        <v>178</v>
      </c>
      <c r="B98" s="6">
        <v>3.4</v>
      </c>
    </row>
    <row r="99" spans="1:2" ht="15" customHeight="1" x14ac:dyDescent="0.25">
      <c r="A99" s="5" t="s">
        <v>179</v>
      </c>
      <c r="B99" s="5">
        <v>3</v>
      </c>
    </row>
    <row r="100" spans="1:2" ht="15" customHeight="1" x14ac:dyDescent="0.25">
      <c r="A100" s="6" t="s">
        <v>180</v>
      </c>
      <c r="B100" s="6">
        <v>3</v>
      </c>
    </row>
    <row r="101" spans="1:2" ht="15" customHeight="1" x14ac:dyDescent="0.25">
      <c r="A101" s="5" t="s">
        <v>181</v>
      </c>
      <c r="B101" s="5">
        <v>3.3</v>
      </c>
    </row>
    <row r="102" spans="1:2" ht="15" customHeight="1" x14ac:dyDescent="0.25">
      <c r="A102" s="6" t="s">
        <v>182</v>
      </c>
      <c r="B102" s="6">
        <v>2.8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2"/>
  <sheetViews>
    <sheetView showGridLines="0" zoomScaleNormal="100" workbookViewId="0">
      <selection activeCell="K14" sqref="K14"/>
    </sheetView>
  </sheetViews>
  <sheetFormatPr defaultColWidth="8.7109375" defaultRowHeight="15" x14ac:dyDescent="0.25"/>
  <cols>
    <col min="1" max="2" width="18" customWidth="1"/>
  </cols>
  <sheetData>
    <row r="1" spans="1:2" ht="31.5" customHeight="1" x14ac:dyDescent="0.25">
      <c r="A1" s="86" t="s">
        <v>185</v>
      </c>
      <c r="B1" s="86"/>
    </row>
    <row r="2" spans="1:2" ht="15" customHeight="1" x14ac:dyDescent="0.25">
      <c r="A2" s="4" t="s">
        <v>72</v>
      </c>
      <c r="B2" s="4" t="s">
        <v>186</v>
      </c>
    </row>
    <row r="3" spans="1:2" ht="15" customHeight="1" x14ac:dyDescent="0.25">
      <c r="A3" s="5" t="s">
        <v>83</v>
      </c>
      <c r="B3" s="5">
        <v>0.5</v>
      </c>
    </row>
    <row r="4" spans="1:2" ht="15" customHeight="1" x14ac:dyDescent="0.25">
      <c r="A4" s="6" t="s">
        <v>84</v>
      </c>
      <c r="B4" s="6">
        <v>0.5</v>
      </c>
    </row>
    <row r="5" spans="1:2" ht="15" customHeight="1" x14ac:dyDescent="0.25">
      <c r="A5" s="5" t="s">
        <v>85</v>
      </c>
      <c r="B5" s="5">
        <v>0.5</v>
      </c>
    </row>
    <row r="6" spans="1:2" ht="15" customHeight="1" x14ac:dyDescent="0.25">
      <c r="A6" s="6" t="s">
        <v>86</v>
      </c>
      <c r="B6" s="6">
        <v>0.5</v>
      </c>
    </row>
    <row r="7" spans="1:2" ht="15" customHeight="1" x14ac:dyDescent="0.25">
      <c r="A7" s="5" t="s">
        <v>87</v>
      </c>
      <c r="B7" s="5">
        <v>0.5</v>
      </c>
    </row>
    <row r="8" spans="1:2" ht="15" customHeight="1" x14ac:dyDescent="0.25">
      <c r="A8" s="6" t="s">
        <v>88</v>
      </c>
      <c r="B8" s="6">
        <v>0.5</v>
      </c>
    </row>
    <row r="9" spans="1:2" ht="15" customHeight="1" x14ac:dyDescent="0.25">
      <c r="A9" s="5" t="s">
        <v>89</v>
      </c>
      <c r="B9" s="5">
        <v>0.5</v>
      </c>
    </row>
    <row r="10" spans="1:2" ht="15" customHeight="1" x14ac:dyDescent="0.25">
      <c r="A10" s="6" t="s">
        <v>90</v>
      </c>
      <c r="B10" s="6">
        <v>0.5</v>
      </c>
    </row>
    <row r="11" spans="1:2" ht="15" customHeight="1" x14ac:dyDescent="0.25">
      <c r="A11" s="5" t="s">
        <v>91</v>
      </c>
      <c r="B11" s="5">
        <v>0.75</v>
      </c>
    </row>
    <row r="12" spans="1:2" ht="15" customHeight="1" x14ac:dyDescent="0.25">
      <c r="A12" s="6" t="s">
        <v>92</v>
      </c>
      <c r="B12" s="6">
        <v>0.75</v>
      </c>
    </row>
    <row r="13" spans="1:2" ht="15" customHeight="1" x14ac:dyDescent="0.25">
      <c r="A13" s="5" t="s">
        <v>93</v>
      </c>
      <c r="B13" s="5">
        <v>0.75</v>
      </c>
    </row>
    <row r="14" spans="1:2" ht="15" customHeight="1" x14ac:dyDescent="0.25">
      <c r="A14" s="6" t="s">
        <v>94</v>
      </c>
      <c r="B14" s="6">
        <v>0.75</v>
      </c>
    </row>
    <row r="15" spans="1:2" ht="15" customHeight="1" x14ac:dyDescent="0.25">
      <c r="A15" s="5" t="s">
        <v>95</v>
      </c>
      <c r="B15" s="5">
        <v>0.75</v>
      </c>
    </row>
    <row r="16" spans="1:2" ht="15" customHeight="1" x14ac:dyDescent="0.25">
      <c r="A16" s="6" t="s">
        <v>96</v>
      </c>
      <c r="B16" s="6">
        <v>0.75</v>
      </c>
    </row>
    <row r="17" spans="1:2" ht="15" customHeight="1" x14ac:dyDescent="0.25">
      <c r="A17" s="5" t="s">
        <v>97</v>
      </c>
      <c r="B17" s="5">
        <v>0.75</v>
      </c>
    </row>
    <row r="18" spans="1:2" ht="15" customHeight="1" x14ac:dyDescent="0.25">
      <c r="A18" s="6" t="s">
        <v>98</v>
      </c>
      <c r="B18" s="6">
        <v>0.75</v>
      </c>
    </row>
    <row r="19" spans="1:2" ht="15" customHeight="1" x14ac:dyDescent="0.25">
      <c r="A19" s="5" t="s">
        <v>99</v>
      </c>
      <c r="B19" s="5">
        <v>0.75</v>
      </c>
    </row>
    <row r="20" spans="1:2" ht="15" customHeight="1" x14ac:dyDescent="0.25">
      <c r="A20" s="6" t="s">
        <v>100</v>
      </c>
      <c r="B20" s="6">
        <v>0.75</v>
      </c>
    </row>
    <row r="21" spans="1:2" ht="15" customHeight="1" x14ac:dyDescent="0.25">
      <c r="A21" s="5" t="s">
        <v>101</v>
      </c>
      <c r="B21" s="5">
        <v>0.75</v>
      </c>
    </row>
    <row r="22" spans="1:2" ht="15" customHeight="1" x14ac:dyDescent="0.25">
      <c r="A22" s="6" t="s">
        <v>102</v>
      </c>
      <c r="B22" s="6">
        <v>0.75</v>
      </c>
    </row>
    <row r="23" spans="1:2" ht="15" customHeight="1" x14ac:dyDescent="0.25">
      <c r="A23" s="5" t="s">
        <v>103</v>
      </c>
      <c r="B23" s="5">
        <v>0.75</v>
      </c>
    </row>
    <row r="24" spans="1:2" ht="15" customHeight="1" x14ac:dyDescent="0.25">
      <c r="A24" s="6" t="s">
        <v>104</v>
      </c>
      <c r="B24" s="6">
        <v>0.75</v>
      </c>
    </row>
    <row r="25" spans="1:2" ht="15" customHeight="1" x14ac:dyDescent="0.25">
      <c r="A25" s="5" t="s">
        <v>105</v>
      </c>
      <c r="B25" s="5">
        <v>0.75</v>
      </c>
    </row>
    <row r="26" spans="1:2" ht="15" customHeight="1" x14ac:dyDescent="0.25">
      <c r="A26" s="6" t="s">
        <v>106</v>
      </c>
      <c r="B26" s="6">
        <v>0.75</v>
      </c>
    </row>
    <row r="27" spans="1:2" ht="15" customHeight="1" x14ac:dyDescent="0.25">
      <c r="A27" s="5" t="s">
        <v>107</v>
      </c>
      <c r="B27" s="5">
        <v>0.75</v>
      </c>
    </row>
    <row r="28" spans="1:2" ht="15" customHeight="1" x14ac:dyDescent="0.25">
      <c r="A28" s="6" t="s">
        <v>108</v>
      </c>
      <c r="B28" s="6">
        <v>0.75</v>
      </c>
    </row>
    <row r="29" spans="1:2" ht="15" customHeight="1" x14ac:dyDescent="0.25">
      <c r="A29" s="5" t="s">
        <v>109</v>
      </c>
      <c r="B29" s="5">
        <v>0.75</v>
      </c>
    </row>
    <row r="30" spans="1:2" ht="15" customHeight="1" x14ac:dyDescent="0.25">
      <c r="A30" s="6" t="s">
        <v>110</v>
      </c>
      <c r="B30" s="6">
        <v>0.1</v>
      </c>
    </row>
    <row r="31" spans="1:2" ht="15" customHeight="1" x14ac:dyDescent="0.25">
      <c r="A31" s="5" t="s">
        <v>111</v>
      </c>
      <c r="B31" s="5">
        <v>0.1</v>
      </c>
    </row>
    <row r="32" spans="1:2" ht="15" customHeight="1" x14ac:dyDescent="0.25">
      <c r="A32" s="6" t="s">
        <v>112</v>
      </c>
      <c r="B32" s="6">
        <v>0.1</v>
      </c>
    </row>
    <row r="33" spans="1:2" ht="15" customHeight="1" x14ac:dyDescent="0.25">
      <c r="A33" s="5" t="s">
        <v>113</v>
      </c>
      <c r="B33" s="5">
        <v>0.1</v>
      </c>
    </row>
    <row r="34" spans="1:2" ht="15" customHeight="1" x14ac:dyDescent="0.25">
      <c r="A34" s="6" t="s">
        <v>114</v>
      </c>
      <c r="B34" s="6">
        <v>0.1</v>
      </c>
    </row>
    <row r="35" spans="1:2" ht="15" customHeight="1" x14ac:dyDescent="0.25">
      <c r="A35" s="5" t="s">
        <v>115</v>
      </c>
      <c r="B35" s="5">
        <v>0.1</v>
      </c>
    </row>
    <row r="36" spans="1:2" ht="15" customHeight="1" x14ac:dyDescent="0.25">
      <c r="A36" s="6" t="s">
        <v>116</v>
      </c>
      <c r="B36" s="6">
        <v>0.1</v>
      </c>
    </row>
    <row r="37" spans="1:2" ht="15" customHeight="1" x14ac:dyDescent="0.25">
      <c r="A37" s="5" t="s">
        <v>117</v>
      </c>
      <c r="B37" s="5">
        <v>0.1</v>
      </c>
    </row>
    <row r="38" spans="1:2" ht="15" customHeight="1" x14ac:dyDescent="0.25">
      <c r="A38" s="6" t="s">
        <v>118</v>
      </c>
      <c r="B38" s="6">
        <v>0.1</v>
      </c>
    </row>
    <row r="39" spans="1:2" ht="15" customHeight="1" x14ac:dyDescent="0.25">
      <c r="A39" s="5" t="s">
        <v>119</v>
      </c>
      <c r="B39" s="5">
        <v>0.1</v>
      </c>
    </row>
    <row r="40" spans="1:2" ht="15" customHeight="1" x14ac:dyDescent="0.25">
      <c r="A40" s="6" t="s">
        <v>120</v>
      </c>
      <c r="B40" s="6">
        <v>0.1</v>
      </c>
    </row>
    <row r="41" spans="1:2" ht="15" customHeight="1" x14ac:dyDescent="0.25">
      <c r="A41" s="5" t="s">
        <v>121</v>
      </c>
      <c r="B41" s="5">
        <v>0.1</v>
      </c>
    </row>
    <row r="42" spans="1:2" ht="15" customHeight="1" x14ac:dyDescent="0.25">
      <c r="A42" s="6" t="s">
        <v>122</v>
      </c>
      <c r="B42" s="6">
        <v>0.1</v>
      </c>
    </row>
    <row r="43" spans="1:2" ht="15" customHeight="1" x14ac:dyDescent="0.25">
      <c r="A43" s="5" t="s">
        <v>123</v>
      </c>
      <c r="B43" s="5">
        <v>0.1</v>
      </c>
    </row>
    <row r="44" spans="1:2" ht="15" customHeight="1" x14ac:dyDescent="0.25">
      <c r="A44" s="6" t="s">
        <v>124</v>
      </c>
      <c r="B44" s="6">
        <v>0.1</v>
      </c>
    </row>
    <row r="45" spans="1:2" ht="15" customHeight="1" x14ac:dyDescent="0.25">
      <c r="A45" s="5" t="s">
        <v>125</v>
      </c>
      <c r="B45" s="5">
        <v>0.1</v>
      </c>
    </row>
    <row r="46" spans="1:2" ht="15" customHeight="1" x14ac:dyDescent="0.25">
      <c r="A46" s="6" t="s">
        <v>126</v>
      </c>
      <c r="B46" s="6">
        <v>0.1</v>
      </c>
    </row>
    <row r="47" spans="1:2" ht="15" customHeight="1" x14ac:dyDescent="0.25">
      <c r="A47" s="5" t="s">
        <v>127</v>
      </c>
      <c r="B47" s="5">
        <v>0.1</v>
      </c>
    </row>
    <row r="48" spans="1:2" ht="15" customHeight="1" x14ac:dyDescent="0.25">
      <c r="A48" s="6" t="s">
        <v>128</v>
      </c>
      <c r="B48" s="6">
        <v>0.1</v>
      </c>
    </row>
    <row r="49" spans="1:2" ht="15" customHeight="1" x14ac:dyDescent="0.25">
      <c r="A49" s="5" t="s">
        <v>129</v>
      </c>
      <c r="B49" s="5">
        <v>0.1</v>
      </c>
    </row>
    <row r="50" spans="1:2" ht="15" customHeight="1" x14ac:dyDescent="0.25">
      <c r="A50" s="6" t="s">
        <v>130</v>
      </c>
      <c r="B50" s="6">
        <v>0.1</v>
      </c>
    </row>
    <row r="51" spans="1:2" ht="15" customHeight="1" x14ac:dyDescent="0.25">
      <c r="A51" s="5" t="s">
        <v>131</v>
      </c>
      <c r="B51" s="5">
        <v>0.25</v>
      </c>
    </row>
    <row r="52" spans="1:2" ht="15" customHeight="1" x14ac:dyDescent="0.25">
      <c r="A52" s="6" t="s">
        <v>132</v>
      </c>
      <c r="B52" s="6">
        <v>0.25</v>
      </c>
    </row>
    <row r="53" spans="1:2" ht="15" customHeight="1" x14ac:dyDescent="0.25">
      <c r="A53" s="5" t="s">
        <v>133</v>
      </c>
      <c r="B53" s="5">
        <v>0.5</v>
      </c>
    </row>
    <row r="54" spans="1:2" ht="15" customHeight="1" x14ac:dyDescent="0.25">
      <c r="A54" s="6" t="s">
        <v>134</v>
      </c>
      <c r="B54" s="6">
        <v>0.75</v>
      </c>
    </row>
    <row r="55" spans="1:2" ht="15" customHeight="1" x14ac:dyDescent="0.25">
      <c r="A55" s="5" t="s">
        <v>135</v>
      </c>
      <c r="B55" s="5">
        <v>0.75</v>
      </c>
    </row>
    <row r="56" spans="1:2" ht="15" customHeight="1" x14ac:dyDescent="0.25">
      <c r="A56" s="6" t="s">
        <v>136</v>
      </c>
      <c r="B56" s="6">
        <v>1</v>
      </c>
    </row>
    <row r="57" spans="1:2" ht="15" customHeight="1" x14ac:dyDescent="0.25">
      <c r="A57" s="5" t="s">
        <v>137</v>
      </c>
      <c r="B57" s="5">
        <v>1.25</v>
      </c>
    </row>
    <row r="58" spans="1:2" ht="15" customHeight="1" x14ac:dyDescent="0.25">
      <c r="A58" s="6" t="s">
        <v>138</v>
      </c>
      <c r="B58" s="6">
        <v>1.25</v>
      </c>
    </row>
    <row r="59" spans="1:2" ht="15" customHeight="1" x14ac:dyDescent="0.25">
      <c r="A59" s="5" t="s">
        <v>139</v>
      </c>
      <c r="B59" s="5">
        <v>1.75</v>
      </c>
    </row>
    <row r="60" spans="1:2" ht="15" customHeight="1" x14ac:dyDescent="0.25">
      <c r="A60" s="6" t="s">
        <v>140</v>
      </c>
      <c r="B60" s="6">
        <v>2.25</v>
      </c>
    </row>
    <row r="61" spans="1:2" ht="15" customHeight="1" x14ac:dyDescent="0.25">
      <c r="A61" s="5" t="s">
        <v>141</v>
      </c>
      <c r="B61" s="5">
        <v>2.25</v>
      </c>
    </row>
    <row r="62" spans="1:2" ht="15" customHeight="1" x14ac:dyDescent="0.25">
      <c r="A62" s="6" t="s">
        <v>142</v>
      </c>
      <c r="B62" s="6">
        <v>3</v>
      </c>
    </row>
    <row r="63" spans="1:2" ht="15" customHeight="1" x14ac:dyDescent="0.25">
      <c r="A63" s="5" t="s">
        <v>143</v>
      </c>
      <c r="B63" s="5">
        <v>3.5</v>
      </c>
    </row>
    <row r="64" spans="1:2" ht="15" customHeight="1" x14ac:dyDescent="0.25">
      <c r="A64" s="6" t="s">
        <v>144</v>
      </c>
      <c r="B64" s="6">
        <v>3.5</v>
      </c>
    </row>
    <row r="65" spans="1:2" ht="15" customHeight="1" x14ac:dyDescent="0.25">
      <c r="A65" s="5" t="s">
        <v>145</v>
      </c>
      <c r="B65" s="5">
        <v>4</v>
      </c>
    </row>
    <row r="66" spans="1:2" ht="15" customHeight="1" x14ac:dyDescent="0.25">
      <c r="A66" s="6" t="s">
        <v>146</v>
      </c>
      <c r="B66" s="6">
        <v>4.25</v>
      </c>
    </row>
    <row r="67" spans="1:2" ht="15" customHeight="1" x14ac:dyDescent="0.25">
      <c r="A67" s="5" t="s">
        <v>147</v>
      </c>
      <c r="B67" s="5">
        <v>4.25</v>
      </c>
    </row>
    <row r="68" spans="1:2" ht="15" customHeight="1" x14ac:dyDescent="0.25">
      <c r="A68" s="6" t="s">
        <v>148</v>
      </c>
      <c r="B68" s="6">
        <v>4.5</v>
      </c>
    </row>
    <row r="69" spans="1:2" ht="15" customHeight="1" x14ac:dyDescent="0.25">
      <c r="A69" s="5" t="s">
        <v>149</v>
      </c>
      <c r="B69" s="5">
        <v>5</v>
      </c>
    </row>
    <row r="70" spans="1:2" ht="15" customHeight="1" x14ac:dyDescent="0.25">
      <c r="A70" s="6" t="s">
        <v>150</v>
      </c>
      <c r="B70" s="6">
        <v>5</v>
      </c>
    </row>
    <row r="71" spans="1:2" ht="15" customHeight="1" x14ac:dyDescent="0.25">
      <c r="A71" s="5" t="s">
        <v>151</v>
      </c>
      <c r="B71" s="5">
        <v>5.25</v>
      </c>
    </row>
    <row r="72" spans="1:2" ht="15" customHeight="1" x14ac:dyDescent="0.25">
      <c r="A72" s="6" t="s">
        <v>152</v>
      </c>
      <c r="B72" s="6">
        <v>5.25</v>
      </c>
    </row>
    <row r="73" spans="1:2" ht="15" customHeight="1" x14ac:dyDescent="0.25">
      <c r="A73" s="5" t="s">
        <v>153</v>
      </c>
      <c r="B73" s="5">
        <v>5.25</v>
      </c>
    </row>
    <row r="74" spans="1:2" ht="15" customHeight="1" x14ac:dyDescent="0.25">
      <c r="A74" s="6" t="s">
        <v>154</v>
      </c>
      <c r="B74" s="6">
        <v>5.25</v>
      </c>
    </row>
    <row r="75" spans="1:2" ht="15" customHeight="1" x14ac:dyDescent="0.25">
      <c r="A75" s="5" t="s">
        <v>155</v>
      </c>
      <c r="B75" s="5">
        <v>5.25</v>
      </c>
    </row>
    <row r="76" spans="1:2" ht="15" customHeight="1" x14ac:dyDescent="0.25">
      <c r="A76" s="6" t="s">
        <v>156</v>
      </c>
      <c r="B76" s="6">
        <v>5.25</v>
      </c>
    </row>
    <row r="77" spans="1:2" ht="15" customHeight="1" x14ac:dyDescent="0.25">
      <c r="A77" s="5" t="s">
        <v>157</v>
      </c>
      <c r="B77" s="5">
        <v>5.25</v>
      </c>
    </row>
    <row r="78" spans="1:2" ht="15" customHeight="1" x14ac:dyDescent="0.25">
      <c r="A78" s="6" t="s">
        <v>158</v>
      </c>
      <c r="B78" s="6">
        <v>5.25</v>
      </c>
    </row>
    <row r="79" spans="1:2" ht="15" customHeight="1" x14ac:dyDescent="0.25">
      <c r="A79" s="5" t="s">
        <v>159</v>
      </c>
      <c r="B79" s="5">
        <v>5.25</v>
      </c>
    </row>
    <row r="80" spans="1:2" ht="15" customHeight="1" x14ac:dyDescent="0.25">
      <c r="A80" s="6" t="s">
        <v>160</v>
      </c>
      <c r="B80" s="6">
        <v>5.25</v>
      </c>
    </row>
    <row r="81" spans="1:2" ht="15" customHeight="1" x14ac:dyDescent="0.25">
      <c r="A81" s="5" t="s">
        <v>161</v>
      </c>
      <c r="B81" s="5">
        <v>5.25</v>
      </c>
    </row>
    <row r="82" spans="1:2" ht="15" customHeight="1" x14ac:dyDescent="0.25">
      <c r="A82" s="6" t="s">
        <v>162</v>
      </c>
      <c r="B82" s="6">
        <v>5</v>
      </c>
    </row>
    <row r="83" spans="1:2" ht="15" customHeight="1" x14ac:dyDescent="0.25">
      <c r="A83" s="5" t="s">
        <v>163</v>
      </c>
      <c r="B83" s="5">
        <v>5</v>
      </c>
    </row>
    <row r="84" spans="1:2" ht="15" customHeight="1" x14ac:dyDescent="0.25">
      <c r="A84" s="6" t="s">
        <v>164</v>
      </c>
      <c r="B84" s="6">
        <v>5</v>
      </c>
    </row>
    <row r="85" spans="1:2" ht="15" customHeight="1" x14ac:dyDescent="0.25">
      <c r="A85" s="5" t="s">
        <v>165</v>
      </c>
      <c r="B85" s="5">
        <v>5</v>
      </c>
    </row>
    <row r="86" spans="1:2" ht="15" customHeight="1" x14ac:dyDescent="0.25">
      <c r="A86" s="6" t="s">
        <v>166</v>
      </c>
      <c r="B86" s="6">
        <v>4.75</v>
      </c>
    </row>
    <row r="87" spans="1:2" ht="15" customHeight="1" x14ac:dyDescent="0.25">
      <c r="A87" s="5" t="s">
        <v>167</v>
      </c>
      <c r="B87" s="5">
        <v>4.75</v>
      </c>
    </row>
    <row r="88" spans="1:2" ht="15" customHeight="1" x14ac:dyDescent="0.25">
      <c r="A88" s="6" t="s">
        <v>168</v>
      </c>
      <c r="B88" s="6">
        <v>4.75</v>
      </c>
    </row>
    <row r="89" spans="1:2" ht="15" customHeight="1" x14ac:dyDescent="0.25">
      <c r="A89" s="5" t="s">
        <v>169</v>
      </c>
      <c r="B89" s="5">
        <v>4.5</v>
      </c>
    </row>
    <row r="90" spans="1:2" ht="15" customHeight="1" x14ac:dyDescent="0.25">
      <c r="A90" s="6" t="s">
        <v>170</v>
      </c>
      <c r="B90" s="6">
        <v>4.5</v>
      </c>
    </row>
    <row r="91" spans="1:2" ht="15" customHeight="1" x14ac:dyDescent="0.25">
      <c r="A91" s="5" t="s">
        <v>171</v>
      </c>
      <c r="B91" s="5">
        <v>4.5</v>
      </c>
    </row>
    <row r="92" spans="1:2" ht="15" customHeight="1" x14ac:dyDescent="0.25">
      <c r="A92" s="6" t="s">
        <v>172</v>
      </c>
      <c r="B92" s="6">
        <v>4.25</v>
      </c>
    </row>
    <row r="93" spans="1:2" ht="15" customHeight="1" x14ac:dyDescent="0.25">
      <c r="A93" s="5" t="s">
        <v>173</v>
      </c>
      <c r="B93" s="5">
        <v>4.25</v>
      </c>
    </row>
    <row r="94" spans="1:2" ht="15" customHeight="1" x14ac:dyDescent="0.25">
      <c r="A94" s="6" t="s">
        <v>174</v>
      </c>
      <c r="B94" s="6">
        <v>4.25</v>
      </c>
    </row>
    <row r="95" spans="1:2" ht="15" customHeight="1" x14ac:dyDescent="0.25">
      <c r="A95" s="5" t="s">
        <v>175</v>
      </c>
      <c r="B95" s="5">
        <v>4</v>
      </c>
    </row>
    <row r="96" spans="1:2" ht="15" customHeight="1" x14ac:dyDescent="0.25">
      <c r="A96" s="6" t="s">
        <v>176</v>
      </c>
      <c r="B96" s="6">
        <v>4</v>
      </c>
    </row>
    <row r="97" spans="1:2" ht="15" customHeight="1" x14ac:dyDescent="0.25">
      <c r="A97" s="5" t="s">
        <v>177</v>
      </c>
      <c r="B97" s="5">
        <v>4</v>
      </c>
    </row>
    <row r="98" spans="1:2" ht="15" customHeight="1" x14ac:dyDescent="0.25">
      <c r="A98" s="6" t="s">
        <v>178</v>
      </c>
      <c r="B98" s="6">
        <v>4</v>
      </c>
    </row>
    <row r="99" spans="1:2" ht="15" customHeight="1" x14ac:dyDescent="0.25">
      <c r="A99" s="5" t="s">
        <v>179</v>
      </c>
      <c r="B99" s="5">
        <v>3.75</v>
      </c>
    </row>
    <row r="100" spans="1:2" ht="15" customHeight="1" x14ac:dyDescent="0.25">
      <c r="A100" s="6" t="s">
        <v>180</v>
      </c>
      <c r="B100" s="6">
        <v>3.75</v>
      </c>
    </row>
    <row r="101" spans="1:2" ht="15" customHeight="1" x14ac:dyDescent="0.25">
      <c r="A101" s="5" t="s">
        <v>181</v>
      </c>
      <c r="B101" s="5">
        <v>3.75</v>
      </c>
    </row>
    <row r="102" spans="1:2" ht="15" customHeight="1" x14ac:dyDescent="0.25">
      <c r="A102" s="6" t="s">
        <v>182</v>
      </c>
      <c r="B102" s="6">
        <v>3.75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2"/>
  <sheetViews>
    <sheetView showGridLines="0" zoomScaleNormal="100" workbookViewId="0">
      <selection activeCell="K14" sqref="K14"/>
    </sheetView>
  </sheetViews>
  <sheetFormatPr defaultColWidth="8.7109375" defaultRowHeight="15" x14ac:dyDescent="0.25"/>
  <cols>
    <col min="1" max="2" width="18" customWidth="1"/>
  </cols>
  <sheetData>
    <row r="1" spans="1:2" ht="31.5" customHeight="1" x14ac:dyDescent="0.25">
      <c r="A1" s="86" t="s">
        <v>187</v>
      </c>
      <c r="B1" s="86"/>
    </row>
    <row r="2" spans="1:2" ht="21.75" customHeight="1" x14ac:dyDescent="0.25">
      <c r="A2" s="4" t="s">
        <v>72</v>
      </c>
      <c r="B2" s="4" t="s">
        <v>188</v>
      </c>
    </row>
    <row r="3" spans="1:2" ht="15" customHeight="1" x14ac:dyDescent="0.25">
      <c r="A3" s="5" t="s">
        <v>83</v>
      </c>
      <c r="B3" s="5">
        <v>2.64</v>
      </c>
    </row>
    <row r="4" spans="1:2" ht="15" customHeight="1" x14ac:dyDescent="0.25">
      <c r="A4" s="6" t="s">
        <v>84</v>
      </c>
      <c r="B4" s="6">
        <v>2.73</v>
      </c>
    </row>
    <row r="5" spans="1:2" ht="15" customHeight="1" x14ac:dyDescent="0.25">
      <c r="A5" s="5" t="s">
        <v>85</v>
      </c>
      <c r="B5" s="5">
        <v>2.38</v>
      </c>
    </row>
    <row r="6" spans="1:2" ht="15" customHeight="1" x14ac:dyDescent="0.25">
      <c r="A6" s="6" t="s">
        <v>86</v>
      </c>
      <c r="B6" s="6">
        <v>2.65</v>
      </c>
    </row>
    <row r="7" spans="1:2" ht="15" customHeight="1" x14ac:dyDescent="0.25">
      <c r="A7" s="5" t="s">
        <v>87</v>
      </c>
      <c r="B7" s="5">
        <v>2.56</v>
      </c>
    </row>
    <row r="8" spans="1:2" ht="15" customHeight="1" x14ac:dyDescent="0.25">
      <c r="A8" s="6" t="s">
        <v>88</v>
      </c>
      <c r="B8" s="6">
        <v>2.14</v>
      </c>
    </row>
    <row r="9" spans="1:2" ht="15" customHeight="1" x14ac:dyDescent="0.25">
      <c r="A9" s="5" t="s">
        <v>89</v>
      </c>
      <c r="B9" s="5">
        <v>3.31</v>
      </c>
    </row>
    <row r="10" spans="1:2" ht="15" customHeight="1" x14ac:dyDescent="0.25">
      <c r="A10" s="6" t="s">
        <v>90</v>
      </c>
      <c r="B10" s="6">
        <v>3.24</v>
      </c>
    </row>
    <row r="11" spans="1:2" ht="15" customHeight="1" x14ac:dyDescent="0.25">
      <c r="A11" s="5" t="s">
        <v>91</v>
      </c>
      <c r="B11" s="5">
        <v>2.82</v>
      </c>
    </row>
    <row r="12" spans="1:2" ht="15" customHeight="1" x14ac:dyDescent="0.25">
      <c r="A12" s="6" t="s">
        <v>92</v>
      </c>
      <c r="B12" s="6">
        <v>4.24</v>
      </c>
    </row>
    <row r="13" spans="1:2" ht="15" customHeight="1" x14ac:dyDescent="0.25">
      <c r="A13" s="5" t="s">
        <v>93</v>
      </c>
      <c r="B13" s="5">
        <v>3.15</v>
      </c>
    </row>
    <row r="14" spans="1:2" ht="15" customHeight="1" x14ac:dyDescent="0.25">
      <c r="A14" s="6" t="s">
        <v>94</v>
      </c>
      <c r="B14" s="6">
        <v>3.18</v>
      </c>
    </row>
    <row r="15" spans="1:2" ht="15" customHeight="1" x14ac:dyDescent="0.25">
      <c r="A15" s="5" t="s">
        <v>95</v>
      </c>
      <c r="B15" s="5">
        <v>3.8</v>
      </c>
    </row>
    <row r="16" spans="1:2" ht="15" customHeight="1" x14ac:dyDescent="0.25">
      <c r="A16" s="6" t="s">
        <v>96</v>
      </c>
      <c r="B16" s="6">
        <v>3.67</v>
      </c>
    </row>
    <row r="17" spans="1:2" ht="15" customHeight="1" x14ac:dyDescent="0.25">
      <c r="A17" s="5" t="s">
        <v>97</v>
      </c>
      <c r="B17" s="5">
        <v>2.31</v>
      </c>
    </row>
    <row r="18" spans="1:2" ht="15" customHeight="1" x14ac:dyDescent="0.25">
      <c r="A18" s="6" t="s">
        <v>98</v>
      </c>
      <c r="B18" s="6">
        <v>3.69</v>
      </c>
    </row>
    <row r="19" spans="1:2" ht="15" customHeight="1" x14ac:dyDescent="0.25">
      <c r="A19" s="5" t="s">
        <v>99</v>
      </c>
      <c r="B19" s="5">
        <v>4.09</v>
      </c>
    </row>
    <row r="20" spans="1:2" ht="15" customHeight="1" x14ac:dyDescent="0.25">
      <c r="A20" s="6" t="s">
        <v>100</v>
      </c>
      <c r="B20" s="6">
        <v>3.98</v>
      </c>
    </row>
    <row r="21" spans="1:2" ht="15" customHeight="1" x14ac:dyDescent="0.25">
      <c r="A21" s="5" t="s">
        <v>101</v>
      </c>
      <c r="B21" s="5">
        <v>4.03</v>
      </c>
    </row>
    <row r="22" spans="1:2" ht="15" customHeight="1" x14ac:dyDescent="0.25">
      <c r="A22" s="6" t="s">
        <v>102</v>
      </c>
      <c r="B22" s="6">
        <v>3.38</v>
      </c>
    </row>
    <row r="23" spans="1:2" ht="15" customHeight="1" x14ac:dyDescent="0.25">
      <c r="A23" s="5" t="s">
        <v>103</v>
      </c>
      <c r="B23" s="5">
        <v>3.96</v>
      </c>
    </row>
    <row r="24" spans="1:2" ht="15" customHeight="1" x14ac:dyDescent="0.25">
      <c r="A24" s="6" t="s">
        <v>104</v>
      </c>
      <c r="B24" s="6">
        <v>2.41</v>
      </c>
    </row>
    <row r="25" spans="1:2" ht="15" customHeight="1" x14ac:dyDescent="0.25">
      <c r="A25" s="5" t="s">
        <v>105</v>
      </c>
      <c r="B25" s="5">
        <v>3.23</v>
      </c>
    </row>
    <row r="26" spans="1:2" ht="15" customHeight="1" x14ac:dyDescent="0.25">
      <c r="A26" s="6" t="s">
        <v>106</v>
      </c>
      <c r="B26" s="6">
        <v>2.57</v>
      </c>
    </row>
    <row r="27" spans="1:2" ht="15" customHeight="1" x14ac:dyDescent="0.25">
      <c r="A27" s="5" t="s">
        <v>107</v>
      </c>
      <c r="B27" s="5">
        <v>3.11</v>
      </c>
    </row>
    <row r="28" spans="1:2" ht="15" customHeight="1" x14ac:dyDescent="0.25">
      <c r="A28" s="6" t="s">
        <v>108</v>
      </c>
      <c r="B28" s="6">
        <v>2.84</v>
      </c>
    </row>
    <row r="29" spans="1:2" ht="15" customHeight="1" x14ac:dyDescent="0.25">
      <c r="A29" s="5" t="s">
        <v>109</v>
      </c>
      <c r="B29" s="5">
        <v>0.73</v>
      </c>
    </row>
    <row r="30" spans="1:2" ht="15" customHeight="1" x14ac:dyDescent="0.25">
      <c r="A30" s="6" t="s">
        <v>110</v>
      </c>
      <c r="B30" s="6">
        <v>-0.94</v>
      </c>
    </row>
    <row r="31" spans="1:2" ht="15" customHeight="1" x14ac:dyDescent="0.25">
      <c r="A31" s="5" t="s">
        <v>111</v>
      </c>
      <c r="B31" s="5">
        <v>-1</v>
      </c>
    </row>
    <row r="32" spans="1:2" ht="15" customHeight="1" x14ac:dyDescent="0.25">
      <c r="A32" s="6" t="s">
        <v>112</v>
      </c>
      <c r="B32" s="6">
        <v>-1.49</v>
      </c>
    </row>
    <row r="33" spans="1:2" ht="15" customHeight="1" x14ac:dyDescent="0.25">
      <c r="A33" s="5" t="s">
        <v>113</v>
      </c>
      <c r="B33" s="5">
        <v>-0.12</v>
      </c>
    </row>
    <row r="34" spans="1:2" ht="15" customHeight="1" x14ac:dyDescent="0.25">
      <c r="A34" s="6" t="s">
        <v>114</v>
      </c>
      <c r="B34" s="6">
        <v>2.04</v>
      </c>
    </row>
    <row r="35" spans="1:2" ht="15" customHeight="1" x14ac:dyDescent="0.25">
      <c r="A35" s="5" t="s">
        <v>115</v>
      </c>
      <c r="B35" s="5">
        <v>2.58</v>
      </c>
    </row>
    <row r="36" spans="1:2" ht="15" customHeight="1" x14ac:dyDescent="0.25">
      <c r="A36" s="6" t="s">
        <v>116</v>
      </c>
      <c r="B36" s="6">
        <v>3.73</v>
      </c>
    </row>
    <row r="37" spans="1:2" ht="15" customHeight="1" x14ac:dyDescent="0.25">
      <c r="A37" s="5" t="s">
        <v>117</v>
      </c>
      <c r="B37" s="5">
        <v>4.74</v>
      </c>
    </row>
    <row r="38" spans="1:2" ht="15" customHeight="1" x14ac:dyDescent="0.25">
      <c r="A38" s="6" t="s">
        <v>118</v>
      </c>
      <c r="B38" s="6">
        <v>5.29</v>
      </c>
    </row>
    <row r="39" spans="1:2" ht="15" customHeight="1" x14ac:dyDescent="0.25">
      <c r="A39" s="5" t="s">
        <v>119</v>
      </c>
      <c r="B39" s="5">
        <v>4.37</v>
      </c>
    </row>
    <row r="40" spans="1:2" ht="15" customHeight="1" x14ac:dyDescent="0.25">
      <c r="A40" s="6" t="s">
        <v>120</v>
      </c>
      <c r="B40" s="6">
        <v>3.96</v>
      </c>
    </row>
    <row r="41" spans="1:2" ht="15" customHeight="1" x14ac:dyDescent="0.25">
      <c r="A41" s="5" t="s">
        <v>121</v>
      </c>
      <c r="B41" s="5">
        <v>4.22</v>
      </c>
    </row>
    <row r="42" spans="1:2" ht="15" customHeight="1" x14ac:dyDescent="0.25">
      <c r="A42" s="6" t="s">
        <v>122</v>
      </c>
      <c r="B42" s="6">
        <v>8.8000000000000007</v>
      </c>
    </row>
    <row r="43" spans="1:2" ht="15" customHeight="1" x14ac:dyDescent="0.25">
      <c r="A43" s="5" t="s">
        <v>123</v>
      </c>
      <c r="B43" s="5">
        <v>9.34</v>
      </c>
    </row>
    <row r="44" spans="1:2" ht="15" customHeight="1" x14ac:dyDescent="0.25">
      <c r="A44" s="6" t="s">
        <v>124</v>
      </c>
      <c r="B44" s="6">
        <v>8.64</v>
      </c>
    </row>
    <row r="45" spans="1:2" ht="15" customHeight="1" x14ac:dyDescent="0.25">
      <c r="A45" s="5" t="s">
        <v>125</v>
      </c>
      <c r="B45" s="5">
        <v>7.28</v>
      </c>
    </row>
    <row r="46" spans="1:2" ht="15" customHeight="1" x14ac:dyDescent="0.25">
      <c r="A46" s="6" t="s">
        <v>126</v>
      </c>
      <c r="B46" s="6">
        <v>5.81</v>
      </c>
    </row>
    <row r="47" spans="1:2" ht="15" customHeight="1" x14ac:dyDescent="0.25">
      <c r="A47" s="5" t="s">
        <v>127</v>
      </c>
      <c r="B47" s="5">
        <v>4.76</v>
      </c>
    </row>
    <row r="48" spans="1:2" ht="15" customHeight="1" x14ac:dyDescent="0.25">
      <c r="A48" s="6" t="s">
        <v>128</v>
      </c>
      <c r="B48" s="6">
        <v>4.6500000000000004</v>
      </c>
    </row>
    <row r="49" spans="1:2" ht="15" customHeight="1" x14ac:dyDescent="0.25">
      <c r="A49" s="5" t="s">
        <v>129</v>
      </c>
      <c r="B49" s="5">
        <v>3.79</v>
      </c>
    </row>
    <row r="50" spans="1:2" ht="15" customHeight="1" x14ac:dyDescent="0.25">
      <c r="A50" s="6" t="s">
        <v>130</v>
      </c>
      <c r="B50" s="6">
        <v>6.22</v>
      </c>
    </row>
    <row r="51" spans="1:2" ht="15" customHeight="1" x14ac:dyDescent="0.25">
      <c r="A51" s="5" t="s">
        <v>131</v>
      </c>
      <c r="B51" s="5">
        <v>5.53</v>
      </c>
    </row>
    <row r="52" spans="1:2" ht="15" customHeight="1" x14ac:dyDescent="0.25">
      <c r="A52" s="6" t="s">
        <v>132</v>
      </c>
      <c r="B52" s="6">
        <v>6.02</v>
      </c>
    </row>
    <row r="53" spans="1:2" ht="15" customHeight="1" x14ac:dyDescent="0.25">
      <c r="A53" s="5" t="s">
        <v>133</v>
      </c>
      <c r="B53" s="5">
        <v>10.32</v>
      </c>
    </row>
    <row r="54" spans="1:2" ht="15" customHeight="1" x14ac:dyDescent="0.25">
      <c r="A54" s="6" t="s">
        <v>134</v>
      </c>
      <c r="B54" s="6">
        <v>5.14</v>
      </c>
    </row>
    <row r="55" spans="1:2" ht="15" customHeight="1" x14ac:dyDescent="0.25">
      <c r="A55" s="5" t="s">
        <v>135</v>
      </c>
      <c r="B55" s="5">
        <v>4.33</v>
      </c>
    </row>
    <row r="56" spans="1:2" ht="15" customHeight="1" x14ac:dyDescent="0.25">
      <c r="A56" s="6" t="s">
        <v>136</v>
      </c>
      <c r="B56" s="6">
        <v>6.26</v>
      </c>
    </row>
    <row r="57" spans="1:2" ht="15" customHeight="1" x14ac:dyDescent="0.25">
      <c r="A57" s="5" t="s">
        <v>137</v>
      </c>
      <c r="B57" s="5">
        <v>5.86</v>
      </c>
    </row>
    <row r="58" spans="1:2" ht="15" customHeight="1" x14ac:dyDescent="0.25">
      <c r="A58" s="6" t="s">
        <v>138</v>
      </c>
      <c r="B58" s="6">
        <v>6.18</v>
      </c>
    </row>
    <row r="59" spans="1:2" ht="15" customHeight="1" x14ac:dyDescent="0.25">
      <c r="A59" s="5" t="s">
        <v>139</v>
      </c>
      <c r="B59" s="5">
        <v>5.89</v>
      </c>
    </row>
    <row r="60" spans="1:2" ht="15" customHeight="1" x14ac:dyDescent="0.25">
      <c r="A60" s="6" t="s">
        <v>140</v>
      </c>
      <c r="B60" s="6">
        <v>6.5</v>
      </c>
    </row>
    <row r="61" spans="1:2" ht="15" customHeight="1" x14ac:dyDescent="0.25">
      <c r="A61" s="5" t="s">
        <v>141</v>
      </c>
      <c r="B61" s="5">
        <v>7.29</v>
      </c>
    </row>
    <row r="62" spans="1:2" ht="15" customHeight="1" x14ac:dyDescent="0.25">
      <c r="A62" s="6" t="s">
        <v>142</v>
      </c>
      <c r="B62" s="6">
        <v>4.88</v>
      </c>
    </row>
    <row r="63" spans="1:2" ht="15" customHeight="1" x14ac:dyDescent="0.25">
      <c r="A63" s="5" t="s">
        <v>143</v>
      </c>
      <c r="B63" s="5">
        <v>6.23</v>
      </c>
    </row>
    <row r="64" spans="1:2" ht="15" customHeight="1" x14ac:dyDescent="0.25">
      <c r="A64" s="6" t="s">
        <v>144</v>
      </c>
      <c r="B64" s="6">
        <v>6.74</v>
      </c>
    </row>
    <row r="65" spans="1:2" ht="15" customHeight="1" x14ac:dyDescent="0.25">
      <c r="A65" s="5" t="s">
        <v>145</v>
      </c>
      <c r="B65" s="5">
        <v>5.91</v>
      </c>
    </row>
    <row r="66" spans="1:2" ht="15" customHeight="1" x14ac:dyDescent="0.25">
      <c r="A66" s="6" t="s">
        <v>146</v>
      </c>
      <c r="B66" s="6">
        <v>7.67</v>
      </c>
    </row>
    <row r="67" spans="1:2" ht="15" customHeight="1" x14ac:dyDescent="0.25">
      <c r="A67" s="5" t="s">
        <v>147</v>
      </c>
      <c r="B67" s="5">
        <v>7.98</v>
      </c>
    </row>
    <row r="68" spans="1:2" ht="15" customHeight="1" x14ac:dyDescent="0.25">
      <c r="A68" s="6" t="s">
        <v>148</v>
      </c>
      <c r="B68" s="6">
        <v>9.14</v>
      </c>
    </row>
    <row r="69" spans="1:2" ht="15" customHeight="1" x14ac:dyDescent="0.25">
      <c r="A69" s="5" t="s">
        <v>149</v>
      </c>
      <c r="B69" s="5">
        <v>8.15</v>
      </c>
    </row>
    <row r="70" spans="1:2" ht="15" customHeight="1" x14ac:dyDescent="0.25">
      <c r="A70" s="6" t="s">
        <v>150</v>
      </c>
      <c r="B70" s="6">
        <v>7.22</v>
      </c>
    </row>
    <row r="71" spans="1:2" ht="15" customHeight="1" x14ac:dyDescent="0.25">
      <c r="A71" s="5" t="s">
        <v>151</v>
      </c>
      <c r="B71" s="5">
        <v>8.16</v>
      </c>
    </row>
    <row r="72" spans="1:2" ht="15" customHeight="1" x14ac:dyDescent="0.25">
      <c r="A72" s="6" t="s">
        <v>152</v>
      </c>
      <c r="B72" s="6">
        <v>5.94</v>
      </c>
    </row>
    <row r="73" spans="1:2" ht="15" customHeight="1" x14ac:dyDescent="0.25">
      <c r="A73" s="5" t="s">
        <v>153</v>
      </c>
      <c r="B73" s="5">
        <v>5.8</v>
      </c>
    </row>
    <row r="74" spans="1:2" ht="15" customHeight="1" x14ac:dyDescent="0.25">
      <c r="A74" s="6" t="s">
        <v>154</v>
      </c>
      <c r="B74" s="6">
        <v>5.74</v>
      </c>
    </row>
    <row r="75" spans="1:2" ht="15" customHeight="1" x14ac:dyDescent="0.25">
      <c r="A75" s="5" t="s">
        <v>155</v>
      </c>
      <c r="B75" s="5">
        <v>5.69</v>
      </c>
    </row>
    <row r="76" spans="1:2" ht="15" customHeight="1" x14ac:dyDescent="0.25">
      <c r="A76" s="6" t="s">
        <v>156</v>
      </c>
      <c r="B76" s="6">
        <v>5.63</v>
      </c>
    </row>
    <row r="77" spans="1:2" ht="15" customHeight="1" x14ac:dyDescent="0.25">
      <c r="A77" s="5" t="s">
        <v>157</v>
      </c>
      <c r="B77" s="5">
        <v>6.25</v>
      </c>
    </row>
    <row r="78" spans="1:2" ht="15" customHeight="1" x14ac:dyDescent="0.25">
      <c r="A78" s="6" t="s">
        <v>158</v>
      </c>
      <c r="B78" s="6">
        <v>5.55</v>
      </c>
    </row>
    <row r="79" spans="1:2" ht="15" customHeight="1" x14ac:dyDescent="0.25">
      <c r="A79" s="5" t="s">
        <v>159</v>
      </c>
      <c r="B79" s="5">
        <v>5.46</v>
      </c>
    </row>
    <row r="80" spans="1:2" ht="15" customHeight="1" x14ac:dyDescent="0.25">
      <c r="A80" s="6" t="s">
        <v>160</v>
      </c>
      <c r="B80" s="6">
        <v>3.28</v>
      </c>
    </row>
    <row r="81" spans="1:2" ht="15" customHeight="1" x14ac:dyDescent="0.25">
      <c r="A81" s="5" t="s">
        <v>161</v>
      </c>
      <c r="B81" s="5">
        <v>4.3499999999999996</v>
      </c>
    </row>
    <row r="82" spans="1:2" ht="15" customHeight="1" x14ac:dyDescent="0.25">
      <c r="A82" s="6" t="s">
        <v>162</v>
      </c>
      <c r="B82" s="6">
        <v>4.82</v>
      </c>
    </row>
    <row r="83" spans="1:2" ht="15" customHeight="1" x14ac:dyDescent="0.25">
      <c r="A83" s="5" t="s">
        <v>163</v>
      </c>
      <c r="B83" s="5">
        <v>5.0999999999999996</v>
      </c>
    </row>
    <row r="84" spans="1:2" ht="15" customHeight="1" x14ac:dyDescent="0.25">
      <c r="A84" s="6" t="s">
        <v>164</v>
      </c>
      <c r="B84" s="6">
        <v>6.05</v>
      </c>
    </row>
    <row r="85" spans="1:2" ht="15" customHeight="1" x14ac:dyDescent="0.25">
      <c r="A85" s="5" t="s">
        <v>165</v>
      </c>
      <c r="B85" s="5">
        <v>5.56</v>
      </c>
    </row>
    <row r="86" spans="1:2" ht="15" customHeight="1" x14ac:dyDescent="0.25">
      <c r="A86" s="6" t="s">
        <v>166</v>
      </c>
      <c r="B86" s="6">
        <v>6.23</v>
      </c>
    </row>
    <row r="87" spans="1:2" ht="15" customHeight="1" x14ac:dyDescent="0.25">
      <c r="A87" s="5" t="s">
        <v>167</v>
      </c>
      <c r="B87" s="5">
        <v>5.13</v>
      </c>
    </row>
    <row r="88" spans="1:2" ht="15" customHeight="1" x14ac:dyDescent="0.25">
      <c r="A88" s="6" t="s">
        <v>168</v>
      </c>
      <c r="B88" s="6">
        <v>5.69</v>
      </c>
    </row>
    <row r="89" spans="1:2" ht="15" customHeight="1" x14ac:dyDescent="0.25">
      <c r="A89" s="5" t="s">
        <v>169</v>
      </c>
      <c r="B89" s="5">
        <v>5.49</v>
      </c>
    </row>
    <row r="90" spans="1:2" ht="15" customHeight="1" x14ac:dyDescent="0.25">
      <c r="A90" s="6" t="s">
        <v>170</v>
      </c>
      <c r="B90" s="6">
        <v>4.59</v>
      </c>
    </row>
    <row r="91" spans="1:2" ht="15" customHeight="1" x14ac:dyDescent="0.25">
      <c r="A91" s="5" t="s">
        <v>171</v>
      </c>
      <c r="B91" s="5">
        <v>4.58</v>
      </c>
    </row>
    <row r="92" spans="1:2" ht="15" customHeight="1" x14ac:dyDescent="0.25">
      <c r="A92" s="6" t="s">
        <v>172</v>
      </c>
      <c r="B92" s="6">
        <v>4.79</v>
      </c>
    </row>
    <row r="93" spans="1:2" ht="15" customHeight="1" x14ac:dyDescent="0.25">
      <c r="A93" s="5" t="s">
        <v>173</v>
      </c>
      <c r="B93" s="5">
        <v>5.0199999999999996</v>
      </c>
    </row>
    <row r="94" spans="1:2" ht="15" customHeight="1" x14ac:dyDescent="0.25">
      <c r="A94" s="6" t="s">
        <v>174</v>
      </c>
      <c r="B94" s="6">
        <v>5.27</v>
      </c>
    </row>
    <row r="95" spans="1:2" ht="15" customHeight="1" x14ac:dyDescent="0.25">
      <c r="A95" s="5" t="s">
        <v>175</v>
      </c>
      <c r="B95" s="5">
        <v>4.33</v>
      </c>
    </row>
    <row r="96" spans="1:2" ht="15" customHeight="1" x14ac:dyDescent="0.25">
      <c r="A96" s="6" t="s">
        <v>176</v>
      </c>
      <c r="B96" s="6">
        <v>4.8600000000000003</v>
      </c>
    </row>
    <row r="97" spans="1:2" ht="15" customHeight="1" x14ac:dyDescent="0.25">
      <c r="A97" s="5" t="s">
        <v>177</v>
      </c>
      <c r="B97" s="5">
        <v>4.5999999999999996</v>
      </c>
    </row>
    <row r="98" spans="1:2" ht="15" customHeight="1" x14ac:dyDescent="0.25">
      <c r="A98" s="6" t="s">
        <v>178</v>
      </c>
      <c r="B98" s="6">
        <v>3.07</v>
      </c>
    </row>
    <row r="99" spans="1:2" ht="15" customHeight="1" x14ac:dyDescent="0.25">
      <c r="A99" s="5" t="s">
        <v>179</v>
      </c>
      <c r="B99" s="5">
        <v>4.6500000000000004</v>
      </c>
    </row>
    <row r="100" spans="1:2" ht="15" customHeight="1" x14ac:dyDescent="0.25">
      <c r="A100" s="6" t="s">
        <v>180</v>
      </c>
      <c r="B100" s="6">
        <v>3.87</v>
      </c>
    </row>
    <row r="101" spans="1:2" ht="15" customHeight="1" x14ac:dyDescent="0.25">
      <c r="A101" s="5" t="s">
        <v>181</v>
      </c>
      <c r="B101" s="5">
        <v>3.78</v>
      </c>
    </row>
    <row r="102" spans="1:2" ht="15" customHeight="1" x14ac:dyDescent="0.25">
      <c r="A102" s="6" t="s">
        <v>182</v>
      </c>
      <c r="B102" s="6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2"/>
  <sheetViews>
    <sheetView showGridLines="0" zoomScaleNormal="100" workbookViewId="0">
      <selection activeCell="K14" sqref="K14"/>
    </sheetView>
  </sheetViews>
  <sheetFormatPr defaultColWidth="8.7109375" defaultRowHeight="15" x14ac:dyDescent="0.25"/>
  <cols>
    <col min="1" max="2" width="18" customWidth="1"/>
  </cols>
  <sheetData>
    <row r="1" spans="1:2" ht="31.5" customHeight="1" x14ac:dyDescent="0.25">
      <c r="A1" s="86" t="s">
        <v>189</v>
      </c>
      <c r="B1" s="86"/>
    </row>
    <row r="2" spans="1:2" ht="21.75" customHeight="1" x14ac:dyDescent="0.25">
      <c r="A2" s="4" t="s">
        <v>72</v>
      </c>
      <c r="B2" s="4" t="s">
        <v>190</v>
      </c>
    </row>
    <row r="3" spans="1:2" ht="15" customHeight="1" x14ac:dyDescent="0.25">
      <c r="A3" s="5" t="s">
        <v>83</v>
      </c>
      <c r="B3" s="5">
        <v>1.4</v>
      </c>
    </row>
    <row r="4" spans="1:2" ht="15" customHeight="1" x14ac:dyDescent="0.25">
      <c r="A4" s="6" t="s">
        <v>84</v>
      </c>
      <c r="B4" s="6">
        <v>1.6</v>
      </c>
    </row>
    <row r="5" spans="1:2" ht="15" customHeight="1" x14ac:dyDescent="0.25">
      <c r="A5" s="5" t="s">
        <v>85</v>
      </c>
      <c r="B5" s="5">
        <v>1.4</v>
      </c>
    </row>
    <row r="6" spans="1:2" ht="15" customHeight="1" x14ac:dyDescent="0.25">
      <c r="A6" s="6" t="s">
        <v>86</v>
      </c>
      <c r="B6" s="6">
        <v>1.5</v>
      </c>
    </row>
    <row r="7" spans="1:2" ht="15" customHeight="1" x14ac:dyDescent="0.25">
      <c r="A7" s="5" t="s">
        <v>87</v>
      </c>
      <c r="B7" s="5">
        <v>1.7</v>
      </c>
    </row>
    <row r="8" spans="1:2" ht="15" customHeight="1" x14ac:dyDescent="0.25">
      <c r="A8" s="6" t="s">
        <v>88</v>
      </c>
      <c r="B8" s="6">
        <v>1.5</v>
      </c>
    </row>
    <row r="9" spans="1:2" ht="15" customHeight="1" x14ac:dyDescent="0.25">
      <c r="A9" s="5" t="s">
        <v>89</v>
      </c>
      <c r="B9" s="5">
        <v>1.5</v>
      </c>
    </row>
    <row r="10" spans="1:2" ht="15" customHeight="1" x14ac:dyDescent="0.25">
      <c r="A10" s="6" t="s">
        <v>90</v>
      </c>
      <c r="B10" s="6">
        <v>1.7</v>
      </c>
    </row>
    <row r="11" spans="1:2" ht="15" customHeight="1" x14ac:dyDescent="0.25">
      <c r="A11" s="5" t="s">
        <v>91</v>
      </c>
      <c r="B11" s="5">
        <v>1.6</v>
      </c>
    </row>
    <row r="12" spans="1:2" ht="15" customHeight="1" x14ac:dyDescent="0.25">
      <c r="A12" s="6" t="s">
        <v>92</v>
      </c>
      <c r="B12" s="6">
        <v>1.5</v>
      </c>
    </row>
    <row r="13" spans="1:2" ht="15" customHeight="1" x14ac:dyDescent="0.25">
      <c r="A13" s="5" t="s">
        <v>93</v>
      </c>
      <c r="B13" s="5">
        <v>1.7</v>
      </c>
    </row>
    <row r="14" spans="1:2" ht="15" customHeight="1" x14ac:dyDescent="0.25">
      <c r="A14" s="6" t="s">
        <v>94</v>
      </c>
      <c r="B14" s="6">
        <v>1.4</v>
      </c>
    </row>
    <row r="15" spans="1:2" ht="15" customHeight="1" x14ac:dyDescent="0.25">
      <c r="A15" s="5" t="s">
        <v>95</v>
      </c>
      <c r="B15" s="5">
        <v>1.2</v>
      </c>
    </row>
    <row r="16" spans="1:2" ht="15" customHeight="1" x14ac:dyDescent="0.25">
      <c r="A16" s="6" t="s">
        <v>96</v>
      </c>
      <c r="B16" s="6">
        <v>1.5</v>
      </c>
    </row>
    <row r="17" spans="1:2" ht="15" customHeight="1" x14ac:dyDescent="0.25">
      <c r="A17" s="5" t="s">
        <v>97</v>
      </c>
      <c r="B17" s="5">
        <v>1.9</v>
      </c>
    </row>
    <row r="18" spans="1:2" ht="15" customHeight="1" x14ac:dyDescent="0.25">
      <c r="A18" s="6" t="s">
        <v>98</v>
      </c>
      <c r="B18" s="6">
        <v>1.8</v>
      </c>
    </row>
    <row r="19" spans="1:2" ht="15" customHeight="1" x14ac:dyDescent="0.25">
      <c r="A19" s="5" t="s">
        <v>99</v>
      </c>
      <c r="B19" s="5">
        <v>1.8</v>
      </c>
    </row>
    <row r="20" spans="1:2" ht="15" customHeight="1" x14ac:dyDescent="0.25">
      <c r="A20" s="6" t="s">
        <v>100</v>
      </c>
      <c r="B20" s="6">
        <v>1.5</v>
      </c>
    </row>
    <row r="21" spans="1:2" ht="15" customHeight="1" x14ac:dyDescent="0.25">
      <c r="A21" s="5" t="s">
        <v>101</v>
      </c>
      <c r="B21" s="5">
        <v>1</v>
      </c>
    </row>
    <row r="22" spans="1:2" ht="15" customHeight="1" x14ac:dyDescent="0.25">
      <c r="A22" s="6" t="s">
        <v>102</v>
      </c>
      <c r="B22" s="6">
        <v>0.5</v>
      </c>
    </row>
    <row r="23" spans="1:2" ht="15" customHeight="1" x14ac:dyDescent="0.25">
      <c r="A23" s="5" t="s">
        <v>103</v>
      </c>
      <c r="B23" s="5">
        <v>0.4</v>
      </c>
    </row>
    <row r="24" spans="1:2" ht="15" customHeight="1" x14ac:dyDescent="0.25">
      <c r="A24" s="6" t="s">
        <v>104</v>
      </c>
      <c r="B24" s="6">
        <v>0.9</v>
      </c>
    </row>
    <row r="25" spans="1:2" ht="15" customHeight="1" x14ac:dyDescent="0.25">
      <c r="A25" s="5" t="s">
        <v>105</v>
      </c>
      <c r="B25" s="5">
        <v>1.1000000000000001</v>
      </c>
    </row>
    <row r="26" spans="1:2" ht="15" customHeight="1" x14ac:dyDescent="0.25">
      <c r="A26" s="6" t="s">
        <v>106</v>
      </c>
      <c r="B26" s="6">
        <v>1.1000000000000001</v>
      </c>
    </row>
    <row r="27" spans="1:2" ht="15" customHeight="1" x14ac:dyDescent="0.25">
      <c r="A27" s="5" t="s">
        <v>107</v>
      </c>
      <c r="B27" s="5">
        <v>0.6</v>
      </c>
    </row>
    <row r="28" spans="1:2" ht="15" customHeight="1" x14ac:dyDescent="0.25">
      <c r="A28" s="6" t="s">
        <v>108</v>
      </c>
      <c r="B28" s="6">
        <v>0.3</v>
      </c>
    </row>
    <row r="29" spans="1:2" ht="15" customHeight="1" x14ac:dyDescent="0.25">
      <c r="A29" s="5" t="s">
        <v>109</v>
      </c>
      <c r="B29" s="5">
        <v>-6.2</v>
      </c>
    </row>
    <row r="30" spans="1:2" ht="15" customHeight="1" x14ac:dyDescent="0.25">
      <c r="A30" s="6" t="s">
        <v>110</v>
      </c>
      <c r="B30" s="6">
        <v>-24.5</v>
      </c>
    </row>
    <row r="31" spans="1:2" ht="15" customHeight="1" x14ac:dyDescent="0.25">
      <c r="A31" s="5" t="s">
        <v>111</v>
      </c>
      <c r="B31" s="5">
        <v>-20.8</v>
      </c>
    </row>
    <row r="32" spans="1:2" ht="15" customHeight="1" x14ac:dyDescent="0.25">
      <c r="A32" s="6" t="s">
        <v>112</v>
      </c>
      <c r="B32" s="6">
        <v>-17.2</v>
      </c>
    </row>
    <row r="33" spans="1:2" ht="15" customHeight="1" x14ac:dyDescent="0.25">
      <c r="A33" s="5" t="s">
        <v>113</v>
      </c>
      <c r="B33" s="5">
        <v>-7</v>
      </c>
    </row>
    <row r="34" spans="1:2" ht="15" customHeight="1" x14ac:dyDescent="0.25">
      <c r="A34" s="6" t="s">
        <v>114</v>
      </c>
      <c r="B34" s="6">
        <v>-6</v>
      </c>
    </row>
    <row r="35" spans="1:2" ht="15" customHeight="1" x14ac:dyDescent="0.25">
      <c r="A35" s="5" t="s">
        <v>115</v>
      </c>
      <c r="B35" s="5">
        <v>-8.5</v>
      </c>
    </row>
    <row r="36" spans="1:2" ht="15" customHeight="1" x14ac:dyDescent="0.25">
      <c r="A36" s="6" t="s">
        <v>116</v>
      </c>
      <c r="B36" s="6">
        <v>-7.5</v>
      </c>
    </row>
    <row r="37" spans="1:2" ht="15" customHeight="1" x14ac:dyDescent="0.25">
      <c r="A37" s="5" t="s">
        <v>117</v>
      </c>
      <c r="B37" s="5">
        <v>-8.9</v>
      </c>
    </row>
    <row r="38" spans="1:2" ht="15" customHeight="1" x14ac:dyDescent="0.25">
      <c r="A38" s="6" t="s">
        <v>118</v>
      </c>
      <c r="B38" s="6">
        <v>-6.3</v>
      </c>
    </row>
    <row r="39" spans="1:2" ht="15" customHeight="1" x14ac:dyDescent="0.25">
      <c r="A39" s="5" t="s">
        <v>119</v>
      </c>
      <c r="B39" s="5">
        <v>-7.5</v>
      </c>
    </row>
    <row r="40" spans="1:2" ht="15" customHeight="1" x14ac:dyDescent="0.25">
      <c r="A40" s="6" t="s">
        <v>120</v>
      </c>
      <c r="B40" s="6">
        <v>-5.2</v>
      </c>
    </row>
    <row r="41" spans="1:2" ht="15" customHeight="1" x14ac:dyDescent="0.25">
      <c r="A41" s="5" t="s">
        <v>121</v>
      </c>
      <c r="B41" s="5">
        <v>-1.3</v>
      </c>
    </row>
    <row r="42" spans="1:2" ht="15" customHeight="1" x14ac:dyDescent="0.25">
      <c r="A42" s="6" t="s">
        <v>122</v>
      </c>
      <c r="B42" s="6">
        <v>27.5</v>
      </c>
    </row>
    <row r="43" spans="1:2" ht="15" customHeight="1" x14ac:dyDescent="0.25">
      <c r="A43" s="5" t="s">
        <v>123</v>
      </c>
      <c r="B43" s="5">
        <v>24.3</v>
      </c>
    </row>
    <row r="44" spans="1:2" ht="15" customHeight="1" x14ac:dyDescent="0.25">
      <c r="A44" s="6" t="s">
        <v>124</v>
      </c>
      <c r="B44" s="6">
        <v>22.8</v>
      </c>
    </row>
    <row r="45" spans="1:2" ht="15" customHeight="1" x14ac:dyDescent="0.25">
      <c r="A45" s="5" t="s">
        <v>125</v>
      </c>
      <c r="B45" s="5">
        <v>7</v>
      </c>
    </row>
    <row r="46" spans="1:2" ht="15" customHeight="1" x14ac:dyDescent="0.25">
      <c r="A46" s="6" t="s">
        <v>126</v>
      </c>
      <c r="B46" s="6">
        <v>6.2</v>
      </c>
    </row>
    <row r="47" spans="1:2" ht="15" customHeight="1" x14ac:dyDescent="0.25">
      <c r="A47" s="5" t="s">
        <v>127</v>
      </c>
      <c r="B47" s="5">
        <v>5.4</v>
      </c>
    </row>
    <row r="48" spans="1:2" ht="15" customHeight="1" x14ac:dyDescent="0.25">
      <c r="A48" s="6" t="s">
        <v>128</v>
      </c>
      <c r="B48" s="6">
        <v>4.7</v>
      </c>
    </row>
    <row r="49" spans="1:2" ht="15" customHeight="1" x14ac:dyDescent="0.25">
      <c r="A49" s="5" t="s">
        <v>129</v>
      </c>
      <c r="B49" s="5">
        <v>5.9</v>
      </c>
    </row>
    <row r="50" spans="1:2" ht="15" customHeight="1" x14ac:dyDescent="0.25">
      <c r="A50" s="6" t="s">
        <v>130</v>
      </c>
      <c r="B50" s="6">
        <v>6.3</v>
      </c>
    </row>
    <row r="51" spans="1:2" ht="15" customHeight="1" x14ac:dyDescent="0.25">
      <c r="A51" s="5" t="s">
        <v>131</v>
      </c>
      <c r="B51" s="5">
        <v>9.3000000000000007</v>
      </c>
    </row>
    <row r="52" spans="1:2" ht="15" customHeight="1" x14ac:dyDescent="0.25">
      <c r="A52" s="6" t="s">
        <v>132</v>
      </c>
      <c r="B52" s="6">
        <v>9.6999999999999993</v>
      </c>
    </row>
    <row r="53" spans="1:2" ht="15" customHeight="1" x14ac:dyDescent="0.25">
      <c r="A53" s="5" t="s">
        <v>133</v>
      </c>
      <c r="B53" s="5">
        <v>8.6</v>
      </c>
    </row>
    <row r="54" spans="1:2" ht="15" customHeight="1" x14ac:dyDescent="0.25">
      <c r="A54" s="6" t="s">
        <v>134</v>
      </c>
      <c r="B54" s="6">
        <v>3.4</v>
      </c>
    </row>
    <row r="55" spans="1:2" ht="15" customHeight="1" x14ac:dyDescent="0.25">
      <c r="A55" s="5" t="s">
        <v>135</v>
      </c>
      <c r="B55" s="5">
        <v>2.7</v>
      </c>
    </row>
    <row r="56" spans="1:2" ht="15" customHeight="1" x14ac:dyDescent="0.25">
      <c r="A56" s="6" t="s">
        <v>136</v>
      </c>
      <c r="B56" s="6">
        <v>2.1</v>
      </c>
    </row>
    <row r="57" spans="1:2" ht="15" customHeight="1" x14ac:dyDescent="0.25">
      <c r="A57" s="5" t="s">
        <v>137</v>
      </c>
      <c r="B57" s="5">
        <v>1.8</v>
      </c>
    </row>
    <row r="58" spans="1:2" ht="15" customHeight="1" x14ac:dyDescent="0.25">
      <c r="A58" s="6" t="s">
        <v>138</v>
      </c>
      <c r="B58" s="6">
        <v>1.7</v>
      </c>
    </row>
    <row r="59" spans="1:2" ht="15" customHeight="1" x14ac:dyDescent="0.25">
      <c r="A59" s="5" t="s">
        <v>139</v>
      </c>
      <c r="B59" s="5">
        <v>0.6</v>
      </c>
    </row>
    <row r="60" spans="1:2" ht="15" customHeight="1" x14ac:dyDescent="0.25">
      <c r="A60" s="6" t="s">
        <v>140</v>
      </c>
      <c r="B60" s="6">
        <v>-0.4</v>
      </c>
    </row>
    <row r="61" spans="1:2" ht="15" customHeight="1" x14ac:dyDescent="0.25">
      <c r="A61" s="5" t="s">
        <v>141</v>
      </c>
      <c r="B61" s="5">
        <v>-0.6</v>
      </c>
    </row>
    <row r="62" spans="1:2" ht="15" customHeight="1" x14ac:dyDescent="0.25">
      <c r="A62" s="6" t="s">
        <v>142</v>
      </c>
      <c r="B62" s="6">
        <v>0.3</v>
      </c>
    </row>
    <row r="63" spans="1:2" ht="15" customHeight="1" x14ac:dyDescent="0.25">
      <c r="A63" s="5" t="s">
        <v>143</v>
      </c>
      <c r="B63" s="5">
        <v>0.3</v>
      </c>
    </row>
    <row r="64" spans="1:2" ht="15" customHeight="1" x14ac:dyDescent="0.25">
      <c r="A64" s="6" t="s">
        <v>144</v>
      </c>
      <c r="B64" s="6">
        <v>-0.2</v>
      </c>
    </row>
    <row r="65" spans="1:2" ht="15" customHeight="1" x14ac:dyDescent="0.25">
      <c r="A65" s="5" t="s">
        <v>145</v>
      </c>
      <c r="B65" s="5">
        <v>0.3</v>
      </c>
    </row>
    <row r="66" spans="1:2" ht="15" customHeight="1" x14ac:dyDescent="0.25">
      <c r="A66" s="6" t="s">
        <v>146</v>
      </c>
      <c r="B66" s="6">
        <v>0.2</v>
      </c>
    </row>
    <row r="67" spans="1:2" ht="15" customHeight="1" x14ac:dyDescent="0.25">
      <c r="A67" s="5" t="s">
        <v>147</v>
      </c>
      <c r="B67" s="5">
        <v>0.3</v>
      </c>
    </row>
    <row r="68" spans="1:2" ht="15" customHeight="1" x14ac:dyDescent="0.25">
      <c r="A68" s="6" t="s">
        <v>148</v>
      </c>
      <c r="B68" s="6">
        <v>0.5</v>
      </c>
    </row>
    <row r="69" spans="1:2" ht="15" customHeight="1" x14ac:dyDescent="0.25">
      <c r="A69" s="5" t="s">
        <v>149</v>
      </c>
      <c r="B69" s="5">
        <v>0.9</v>
      </c>
    </row>
    <row r="70" spans="1:2" ht="15" customHeight="1" x14ac:dyDescent="0.25">
      <c r="A70" s="6" t="s">
        <v>150</v>
      </c>
      <c r="B70" s="6">
        <v>0.6</v>
      </c>
    </row>
    <row r="71" spans="1:2" ht="15" customHeight="1" x14ac:dyDescent="0.25">
      <c r="A71" s="5" t="s">
        <v>151</v>
      </c>
      <c r="B71" s="5">
        <v>0.4</v>
      </c>
    </row>
    <row r="72" spans="1:2" ht="15" customHeight="1" x14ac:dyDescent="0.25">
      <c r="A72" s="6" t="s">
        <v>152</v>
      </c>
      <c r="B72" s="6">
        <v>0.2</v>
      </c>
    </row>
    <row r="73" spans="1:2" ht="15" customHeight="1" x14ac:dyDescent="0.25">
      <c r="A73" s="5" t="s">
        <v>153</v>
      </c>
      <c r="B73" s="5">
        <v>0.3</v>
      </c>
    </row>
    <row r="74" spans="1:2" ht="15" customHeight="1" x14ac:dyDescent="0.25">
      <c r="A74" s="6" t="s">
        <v>154</v>
      </c>
      <c r="B74" s="6">
        <v>0.2</v>
      </c>
    </row>
    <row r="75" spans="1:2" ht="15" customHeight="1" x14ac:dyDescent="0.25">
      <c r="A75" s="5" t="s">
        <v>155</v>
      </c>
      <c r="B75" s="5">
        <v>0.2</v>
      </c>
    </row>
    <row r="76" spans="1:2" ht="15" customHeight="1" x14ac:dyDescent="0.25">
      <c r="A76" s="6" t="s">
        <v>156</v>
      </c>
      <c r="B76" s="6">
        <v>0.3</v>
      </c>
    </row>
    <row r="77" spans="1:2" ht="15" customHeight="1" x14ac:dyDescent="0.25">
      <c r="A77" s="5" t="s">
        <v>157</v>
      </c>
      <c r="B77" s="5">
        <v>0.4</v>
      </c>
    </row>
    <row r="78" spans="1:2" ht="15" customHeight="1" x14ac:dyDescent="0.25">
      <c r="A78" s="6" t="s">
        <v>158</v>
      </c>
      <c r="B78" s="6">
        <v>0.6</v>
      </c>
    </row>
    <row r="79" spans="1:2" ht="15" customHeight="1" x14ac:dyDescent="0.25">
      <c r="A79" s="5" t="s">
        <v>159</v>
      </c>
      <c r="B79" s="5">
        <v>1.2</v>
      </c>
    </row>
    <row r="80" spans="1:2" ht="15" customHeight="1" x14ac:dyDescent="0.25">
      <c r="A80" s="6" t="s">
        <v>160</v>
      </c>
      <c r="B80" s="6">
        <v>0.4</v>
      </c>
    </row>
    <row r="81" spans="1:2" ht="15" customHeight="1" x14ac:dyDescent="0.25">
      <c r="A81" s="5" t="s">
        <v>161</v>
      </c>
      <c r="B81" s="5">
        <v>0.7</v>
      </c>
    </row>
    <row r="82" spans="1:2" ht="15" customHeight="1" x14ac:dyDescent="0.25">
      <c r="A82" s="6" t="s">
        <v>162</v>
      </c>
      <c r="B82" s="6">
        <v>1.1000000000000001</v>
      </c>
    </row>
    <row r="83" spans="1:2" ht="15" customHeight="1" x14ac:dyDescent="0.25">
      <c r="A83" s="5" t="s">
        <v>163</v>
      </c>
      <c r="B83" s="5">
        <v>1.1000000000000001</v>
      </c>
    </row>
    <row r="84" spans="1:2" ht="15" customHeight="1" x14ac:dyDescent="0.25">
      <c r="A84" s="6" t="s">
        <v>164</v>
      </c>
      <c r="B84" s="6">
        <v>1.6</v>
      </c>
    </row>
    <row r="85" spans="1:2" ht="15" customHeight="1" x14ac:dyDescent="0.25">
      <c r="A85" s="5" t="s">
        <v>165</v>
      </c>
      <c r="B85" s="5">
        <v>1.4</v>
      </c>
    </row>
    <row r="86" spans="1:2" ht="15" customHeight="1" x14ac:dyDescent="0.25">
      <c r="A86" s="6" t="s">
        <v>166</v>
      </c>
      <c r="B86" s="6">
        <v>2.1</v>
      </c>
    </row>
    <row r="87" spans="1:2" ht="15" customHeight="1" x14ac:dyDescent="0.25">
      <c r="A87" s="5" t="s">
        <v>167</v>
      </c>
      <c r="B87" s="5">
        <v>1.6</v>
      </c>
    </row>
    <row r="88" spans="1:2" ht="15" customHeight="1" x14ac:dyDescent="0.25">
      <c r="A88" s="6" t="s">
        <v>168</v>
      </c>
      <c r="B88" s="6">
        <v>1.8</v>
      </c>
    </row>
    <row r="89" spans="1:2" ht="15" customHeight="1" x14ac:dyDescent="0.25">
      <c r="A89" s="5" t="s">
        <v>169</v>
      </c>
      <c r="B89" s="5">
        <v>1.6</v>
      </c>
    </row>
    <row r="90" spans="1:2" ht="15" customHeight="1" x14ac:dyDescent="0.25">
      <c r="A90" s="6" t="s">
        <v>170</v>
      </c>
      <c r="B90" s="6">
        <v>1.3</v>
      </c>
    </row>
    <row r="91" spans="1:2" ht="15" customHeight="1" x14ac:dyDescent="0.25">
      <c r="A91" s="5" t="s">
        <v>171</v>
      </c>
      <c r="B91" s="5">
        <v>0.9</v>
      </c>
    </row>
    <row r="92" spans="1:2" ht="15" customHeight="1" x14ac:dyDescent="0.25">
      <c r="A92" s="6" t="s">
        <v>172</v>
      </c>
      <c r="B92" s="6">
        <v>1.5</v>
      </c>
    </row>
    <row r="93" spans="1:2" ht="15" customHeight="1" x14ac:dyDescent="0.25">
      <c r="A93" s="5" t="s">
        <v>173</v>
      </c>
      <c r="B93" s="5">
        <v>1.6</v>
      </c>
    </row>
    <row r="94" spans="1:2" ht="15" customHeight="1" x14ac:dyDescent="0.25">
      <c r="A94" s="6" t="s">
        <v>174</v>
      </c>
      <c r="B94" s="6">
        <v>1</v>
      </c>
    </row>
    <row r="95" spans="1:2" ht="15" customHeight="1" x14ac:dyDescent="0.25">
      <c r="A95" s="5" t="s">
        <v>175</v>
      </c>
      <c r="B95" s="5">
        <v>1.1000000000000001</v>
      </c>
    </row>
    <row r="96" spans="1:2" ht="15" customHeight="1" x14ac:dyDescent="0.25">
      <c r="A96" s="6" t="s">
        <v>176</v>
      </c>
      <c r="B96" s="6">
        <v>1</v>
      </c>
    </row>
    <row r="97" spans="1:2" ht="15" customHeight="1" x14ac:dyDescent="0.25">
      <c r="A97" s="5" t="s">
        <v>177</v>
      </c>
      <c r="B97" s="5">
        <v>1.1000000000000001</v>
      </c>
    </row>
    <row r="98" spans="1:2" ht="15" customHeight="1" x14ac:dyDescent="0.25">
      <c r="A98" s="6" t="s">
        <v>178</v>
      </c>
      <c r="B98" s="6">
        <v>0.9</v>
      </c>
    </row>
    <row r="99" spans="1:2" ht="15" customHeight="1" x14ac:dyDescent="0.25">
      <c r="A99" s="5" t="s">
        <v>179</v>
      </c>
      <c r="B99" s="5">
        <v>0.9</v>
      </c>
    </row>
    <row r="100" spans="1:2" ht="15" customHeight="1" x14ac:dyDescent="0.25">
      <c r="A100" s="6" t="s">
        <v>180</v>
      </c>
      <c r="B100" s="6">
        <v>1</v>
      </c>
    </row>
    <row r="101" spans="1:2" ht="15" customHeight="1" x14ac:dyDescent="0.25">
      <c r="A101" s="5" t="s">
        <v>181</v>
      </c>
      <c r="B101" s="5">
        <v>1.2</v>
      </c>
    </row>
    <row r="102" spans="1:2" ht="15" customHeight="1" x14ac:dyDescent="0.25">
      <c r="A102" s="6" t="s">
        <v>182</v>
      </c>
      <c r="B102" s="6">
        <v>1.2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2"/>
  <sheetViews>
    <sheetView showGridLines="0" zoomScaleNormal="100" workbookViewId="0">
      <selection activeCell="K14" sqref="K14"/>
    </sheetView>
  </sheetViews>
  <sheetFormatPr defaultColWidth="8.7109375" defaultRowHeight="15" x14ac:dyDescent="0.25"/>
  <cols>
    <col min="1" max="11" width="12" customWidth="1"/>
    <col min="12" max="15" width="10" customWidth="1"/>
    <col min="16" max="18" width="13" customWidth="1"/>
    <col min="19" max="20" width="8" customWidth="1"/>
  </cols>
  <sheetData>
    <row r="1" spans="1:20" ht="30" customHeight="1" x14ac:dyDescent="0.25">
      <c r="A1" s="87" t="s">
        <v>191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spans="1:20" ht="21.75" customHeight="1" x14ac:dyDescent="0.25">
      <c r="A2" s="7" t="s">
        <v>192</v>
      </c>
      <c r="B2" s="7" t="s">
        <v>193</v>
      </c>
      <c r="C2" s="7" t="s">
        <v>194</v>
      </c>
      <c r="D2" s="7" t="s">
        <v>195</v>
      </c>
      <c r="E2" s="7" t="s">
        <v>196</v>
      </c>
      <c r="F2" s="7" t="s">
        <v>197</v>
      </c>
      <c r="G2" s="7" t="s">
        <v>198</v>
      </c>
      <c r="H2" s="7" t="s">
        <v>199</v>
      </c>
      <c r="I2" s="7" t="s">
        <v>200</v>
      </c>
      <c r="J2" s="7" t="s">
        <v>201</v>
      </c>
      <c r="K2" s="7" t="s">
        <v>202</v>
      </c>
      <c r="L2" s="7" t="s">
        <v>13</v>
      </c>
      <c r="M2" s="7" t="s">
        <v>203</v>
      </c>
      <c r="N2" s="7" t="s">
        <v>204</v>
      </c>
      <c r="O2" s="7" t="s">
        <v>19</v>
      </c>
      <c r="P2" s="7" t="s">
        <v>205</v>
      </c>
      <c r="Q2" s="7" t="s">
        <v>206</v>
      </c>
      <c r="R2" s="7" t="s">
        <v>207</v>
      </c>
      <c r="S2" s="7" t="s">
        <v>208</v>
      </c>
      <c r="T2" s="7" t="s">
        <v>209</v>
      </c>
    </row>
    <row r="3" spans="1:20" ht="15.75" customHeight="1" x14ac:dyDescent="0.25">
      <c r="A3" s="8" t="s">
        <v>83</v>
      </c>
      <c r="B3" s="9">
        <v>98.9</v>
      </c>
      <c r="C3" s="9">
        <v>101.5</v>
      </c>
      <c r="D3" s="9">
        <v>103.1</v>
      </c>
      <c r="E3" s="9">
        <v>98.9</v>
      </c>
      <c r="F3" s="9">
        <v>111.1</v>
      </c>
      <c r="G3" s="9">
        <v>71.8</v>
      </c>
      <c r="H3" s="9">
        <v>4.5999999999999996</v>
      </c>
      <c r="I3" s="9">
        <v>2.8</v>
      </c>
      <c r="J3" s="9">
        <v>5.0999999999999996</v>
      </c>
      <c r="K3" s="9">
        <v>3.1</v>
      </c>
      <c r="L3" s="9">
        <v>3</v>
      </c>
      <c r="M3" s="9">
        <v>0.5</v>
      </c>
      <c r="N3" s="9">
        <v>2.64</v>
      </c>
      <c r="O3" s="9">
        <v>1.4</v>
      </c>
      <c r="P3" s="10">
        <f t="shared" ref="P3:P34" si="0">IF(AND(H3&lt;&gt;"",L3&lt;&gt;""),H3-L3,"")</f>
        <v>1.5999999999999996</v>
      </c>
      <c r="Q3" s="10">
        <f t="shared" ref="Q3:Q34" si="1">IF(AND(N3&lt;&gt;"",L3&lt;&gt;""),N3-L3,"")</f>
        <v>-0.35999999999999988</v>
      </c>
      <c r="R3" s="10">
        <v>100</v>
      </c>
      <c r="S3" s="5">
        <f t="shared" ref="S3:S34" si="2">IF(A3&lt;&gt;"",LEFT(A3,4)*1,"")</f>
        <v>2018</v>
      </c>
      <c r="T3" s="5" t="str">
        <f t="shared" ref="T3:T34" si="3">IF(A3&lt;&gt;"","Q"&amp;INT((MID(A3,6,2)*1-1)/3)+1,"")</f>
        <v>Q1</v>
      </c>
    </row>
    <row r="4" spans="1:20" ht="15.75" customHeight="1" x14ac:dyDescent="0.25">
      <c r="A4" s="11" t="s">
        <v>84</v>
      </c>
      <c r="B4" s="12">
        <v>99.4</v>
      </c>
      <c r="C4" s="12">
        <v>102.5</v>
      </c>
      <c r="D4" s="12">
        <v>102.3</v>
      </c>
      <c r="E4" s="12">
        <v>98.5</v>
      </c>
      <c r="F4" s="12">
        <v>112</v>
      </c>
      <c r="G4" s="12">
        <v>74.2</v>
      </c>
      <c r="H4" s="12">
        <v>4.2</v>
      </c>
      <c r="I4" s="12">
        <v>2.7</v>
      </c>
      <c r="J4" s="12">
        <v>3.6</v>
      </c>
      <c r="K4" s="12">
        <v>1.7</v>
      </c>
      <c r="L4" s="12">
        <v>2.7</v>
      </c>
      <c r="M4" s="12">
        <v>0.5</v>
      </c>
      <c r="N4" s="12">
        <v>2.73</v>
      </c>
      <c r="O4" s="12">
        <v>1.6</v>
      </c>
      <c r="P4" s="13">
        <f t="shared" si="0"/>
        <v>1.5</v>
      </c>
      <c r="Q4" s="13">
        <f t="shared" si="1"/>
        <v>2.9999999999999805E-2</v>
      </c>
      <c r="R4" s="13">
        <f t="shared" ref="R4:R35" si="4">IF(R3&lt;&gt;"",R3*(1+IFERROR(Q4/100,0)),"")</f>
        <v>100.03</v>
      </c>
      <c r="S4" s="6">
        <f t="shared" si="2"/>
        <v>2018</v>
      </c>
      <c r="T4" s="6" t="str">
        <f t="shared" si="3"/>
        <v>Q1</v>
      </c>
    </row>
    <row r="5" spans="1:20" ht="15.75" customHeight="1" x14ac:dyDescent="0.25">
      <c r="A5" s="8" t="s">
        <v>85</v>
      </c>
      <c r="B5" s="9">
        <v>97.9</v>
      </c>
      <c r="C5" s="9">
        <v>101.4</v>
      </c>
      <c r="D5" s="9">
        <v>101.5</v>
      </c>
      <c r="E5" s="9">
        <v>97</v>
      </c>
      <c r="F5" s="9">
        <v>113.5</v>
      </c>
      <c r="G5" s="9">
        <v>72.7</v>
      </c>
      <c r="H5" s="9">
        <v>2.6</v>
      </c>
      <c r="I5" s="9">
        <v>1.3</v>
      </c>
      <c r="J5" s="9">
        <v>1.8</v>
      </c>
      <c r="K5" s="9">
        <v>-2.1</v>
      </c>
      <c r="L5" s="9">
        <v>2.5</v>
      </c>
      <c r="M5" s="9">
        <v>0.5</v>
      </c>
      <c r="N5" s="9">
        <v>2.38</v>
      </c>
      <c r="O5" s="9">
        <v>1.4</v>
      </c>
      <c r="P5" s="10">
        <f t="shared" si="0"/>
        <v>0.10000000000000009</v>
      </c>
      <c r="Q5" s="10">
        <f t="shared" si="1"/>
        <v>-0.12000000000000011</v>
      </c>
      <c r="R5" s="10">
        <f t="shared" si="4"/>
        <v>99.909964000000002</v>
      </c>
      <c r="S5" s="5">
        <f t="shared" si="2"/>
        <v>2018</v>
      </c>
      <c r="T5" s="5" t="str">
        <f t="shared" si="3"/>
        <v>Q1</v>
      </c>
    </row>
    <row r="6" spans="1:20" ht="15.75" customHeight="1" x14ac:dyDescent="0.25">
      <c r="A6" s="11" t="s">
        <v>86</v>
      </c>
      <c r="B6" s="12">
        <v>99.4</v>
      </c>
      <c r="C6" s="12">
        <v>102.6</v>
      </c>
      <c r="D6" s="12">
        <v>102.6</v>
      </c>
      <c r="E6" s="12">
        <v>98.1</v>
      </c>
      <c r="F6" s="12">
        <v>114.4</v>
      </c>
      <c r="G6" s="12">
        <v>74.3</v>
      </c>
      <c r="H6" s="12">
        <v>2.7</v>
      </c>
      <c r="I6" s="12">
        <v>2.2999999999999998</v>
      </c>
      <c r="J6" s="12">
        <v>0.4</v>
      </c>
      <c r="K6" s="12">
        <v>-0.1</v>
      </c>
      <c r="L6" s="12">
        <v>2.4</v>
      </c>
      <c r="M6" s="12">
        <v>0.5</v>
      </c>
      <c r="N6" s="12">
        <v>2.65</v>
      </c>
      <c r="O6" s="12">
        <v>1.5</v>
      </c>
      <c r="P6" s="13">
        <f t="shared" si="0"/>
        <v>0.30000000000000027</v>
      </c>
      <c r="Q6" s="13">
        <f t="shared" si="1"/>
        <v>0.25</v>
      </c>
      <c r="R6" s="13">
        <f t="shared" si="4"/>
        <v>100.15973891</v>
      </c>
      <c r="S6" s="6">
        <f t="shared" si="2"/>
        <v>2018</v>
      </c>
      <c r="T6" s="6" t="str">
        <f t="shared" si="3"/>
        <v>Q2</v>
      </c>
    </row>
    <row r="7" spans="1:20" ht="15.75" customHeight="1" x14ac:dyDescent="0.25">
      <c r="A7" s="8" t="s">
        <v>87</v>
      </c>
      <c r="B7" s="9">
        <v>101.2</v>
      </c>
      <c r="C7" s="9">
        <v>104.1</v>
      </c>
      <c r="D7" s="9">
        <v>104.2</v>
      </c>
      <c r="E7" s="9">
        <v>101</v>
      </c>
      <c r="F7" s="9">
        <v>114.2</v>
      </c>
      <c r="G7" s="9">
        <v>78.099999999999994</v>
      </c>
      <c r="H7" s="9">
        <v>6.4</v>
      </c>
      <c r="I7" s="9">
        <v>4.5999999999999996</v>
      </c>
      <c r="J7" s="9">
        <v>5</v>
      </c>
      <c r="K7" s="9">
        <v>2.6</v>
      </c>
      <c r="L7" s="9">
        <v>2.4</v>
      </c>
      <c r="M7" s="9">
        <v>0.5</v>
      </c>
      <c r="N7" s="9">
        <v>2.56</v>
      </c>
      <c r="O7" s="9">
        <v>1.7</v>
      </c>
      <c r="P7" s="10">
        <f t="shared" si="0"/>
        <v>4</v>
      </c>
      <c r="Q7" s="10">
        <f t="shared" si="1"/>
        <v>0.16000000000000014</v>
      </c>
      <c r="R7" s="10">
        <f t="shared" si="4"/>
        <v>100.319994492256</v>
      </c>
      <c r="S7" s="5">
        <f t="shared" si="2"/>
        <v>2018</v>
      </c>
      <c r="T7" s="5" t="str">
        <f t="shared" si="3"/>
        <v>Q2</v>
      </c>
    </row>
    <row r="8" spans="1:20" ht="15.75" customHeight="1" x14ac:dyDescent="0.25">
      <c r="A8" s="11" t="s">
        <v>88</v>
      </c>
      <c r="B8" s="12">
        <v>100.8</v>
      </c>
      <c r="C8" s="12">
        <v>104</v>
      </c>
      <c r="D8" s="12">
        <v>103.6</v>
      </c>
      <c r="E8" s="12">
        <v>101.3</v>
      </c>
      <c r="F8" s="12">
        <v>112</v>
      </c>
      <c r="G8" s="12">
        <v>77.7</v>
      </c>
      <c r="H8" s="12">
        <v>5.0999999999999996</v>
      </c>
      <c r="I8" s="12">
        <v>5.0999999999999996</v>
      </c>
      <c r="J8" s="12">
        <v>2.8</v>
      </c>
      <c r="K8" s="12">
        <v>0.6</v>
      </c>
      <c r="L8" s="12">
        <v>2.4</v>
      </c>
      <c r="M8" s="12">
        <v>0.5</v>
      </c>
      <c r="N8" s="12">
        <v>2.14</v>
      </c>
      <c r="O8" s="12">
        <v>1.5</v>
      </c>
      <c r="P8" s="13">
        <f t="shared" si="0"/>
        <v>2.6999999999999997</v>
      </c>
      <c r="Q8" s="13">
        <f t="shared" si="1"/>
        <v>-0.25999999999999979</v>
      </c>
      <c r="R8" s="13">
        <f t="shared" si="4"/>
        <v>100.05916250657613</v>
      </c>
      <c r="S8" s="6">
        <f t="shared" si="2"/>
        <v>2018</v>
      </c>
      <c r="T8" s="6" t="str">
        <f t="shared" si="3"/>
        <v>Q2</v>
      </c>
    </row>
    <row r="9" spans="1:20" ht="15.75" customHeight="1" x14ac:dyDescent="0.25">
      <c r="A9" s="8" t="s">
        <v>89</v>
      </c>
      <c r="B9" s="9">
        <v>101.8</v>
      </c>
      <c r="C9" s="9">
        <v>104.8</v>
      </c>
      <c r="D9" s="9">
        <v>104.4</v>
      </c>
      <c r="E9" s="9">
        <v>103.6</v>
      </c>
      <c r="F9" s="9">
        <v>111.7</v>
      </c>
      <c r="G9" s="9">
        <v>81</v>
      </c>
      <c r="H9" s="9">
        <v>5.9</v>
      </c>
      <c r="I9" s="9">
        <v>5.2</v>
      </c>
      <c r="J9" s="9">
        <v>1.4</v>
      </c>
      <c r="K9" s="9">
        <v>2</v>
      </c>
      <c r="L9" s="9">
        <v>2.5</v>
      </c>
      <c r="M9" s="9">
        <v>0.5</v>
      </c>
      <c r="N9" s="9">
        <v>3.31</v>
      </c>
      <c r="O9" s="9">
        <v>1.5</v>
      </c>
      <c r="P9" s="10">
        <f t="shared" si="0"/>
        <v>3.4000000000000004</v>
      </c>
      <c r="Q9" s="10">
        <f t="shared" si="1"/>
        <v>0.81</v>
      </c>
      <c r="R9" s="10">
        <f t="shared" si="4"/>
        <v>100.86964172287939</v>
      </c>
      <c r="S9" s="5">
        <f t="shared" si="2"/>
        <v>2018</v>
      </c>
      <c r="T9" s="5" t="str">
        <f t="shared" si="3"/>
        <v>Q3</v>
      </c>
    </row>
    <row r="10" spans="1:20" ht="15.75" customHeight="1" x14ac:dyDescent="0.25">
      <c r="A10" s="11" t="s">
        <v>90</v>
      </c>
      <c r="B10" s="12">
        <v>101.9</v>
      </c>
      <c r="C10" s="12">
        <v>104</v>
      </c>
      <c r="D10" s="12">
        <v>105.4</v>
      </c>
      <c r="E10" s="12">
        <v>100.3</v>
      </c>
      <c r="F10" s="12">
        <v>115.7</v>
      </c>
      <c r="G10" s="12">
        <v>82.1</v>
      </c>
      <c r="H10" s="12">
        <v>5.2</v>
      </c>
      <c r="I10" s="12">
        <v>4.2</v>
      </c>
      <c r="J10" s="12">
        <v>1.2</v>
      </c>
      <c r="K10" s="12">
        <v>-0.8</v>
      </c>
      <c r="L10" s="12">
        <v>2.7</v>
      </c>
      <c r="M10" s="12">
        <v>0.5</v>
      </c>
      <c r="N10" s="12">
        <v>3.24</v>
      </c>
      <c r="O10" s="12">
        <v>1.7</v>
      </c>
      <c r="P10" s="13">
        <f t="shared" si="0"/>
        <v>2.5</v>
      </c>
      <c r="Q10" s="13">
        <f t="shared" si="1"/>
        <v>0.54</v>
      </c>
      <c r="R10" s="13">
        <f t="shared" si="4"/>
        <v>101.41433778818295</v>
      </c>
      <c r="S10" s="6">
        <f t="shared" si="2"/>
        <v>2018</v>
      </c>
      <c r="T10" s="6" t="str">
        <f t="shared" si="3"/>
        <v>Q3</v>
      </c>
    </row>
    <row r="11" spans="1:20" ht="15.75" customHeight="1" x14ac:dyDescent="0.25">
      <c r="A11" s="8" t="s">
        <v>91</v>
      </c>
      <c r="B11" s="9">
        <v>101.7</v>
      </c>
      <c r="C11" s="9">
        <v>103.3</v>
      </c>
      <c r="D11" s="9">
        <v>105.5</v>
      </c>
      <c r="E11" s="9">
        <v>100.9</v>
      </c>
      <c r="F11" s="9">
        <v>117.6</v>
      </c>
      <c r="G11" s="9">
        <v>81.8</v>
      </c>
      <c r="H11" s="9">
        <v>4.5999999999999996</v>
      </c>
      <c r="I11" s="9">
        <v>3</v>
      </c>
      <c r="J11" s="9">
        <v>0.9</v>
      </c>
      <c r="K11" s="9">
        <v>-0.7</v>
      </c>
      <c r="L11" s="9">
        <v>2.4</v>
      </c>
      <c r="M11" s="9">
        <v>0.75</v>
      </c>
      <c r="N11" s="9">
        <v>2.82</v>
      </c>
      <c r="O11" s="9">
        <v>1.6</v>
      </c>
      <c r="P11" s="10">
        <f t="shared" si="0"/>
        <v>2.1999999999999997</v>
      </c>
      <c r="Q11" s="10">
        <f t="shared" si="1"/>
        <v>0.41999999999999993</v>
      </c>
      <c r="R11" s="10">
        <f t="shared" si="4"/>
        <v>101.84027800689331</v>
      </c>
      <c r="S11" s="5">
        <f t="shared" si="2"/>
        <v>2018</v>
      </c>
      <c r="T11" s="5" t="str">
        <f t="shared" si="3"/>
        <v>Q3</v>
      </c>
    </row>
    <row r="12" spans="1:20" ht="15.75" customHeight="1" x14ac:dyDescent="0.25">
      <c r="A12" s="11" t="s">
        <v>92</v>
      </c>
      <c r="B12" s="12">
        <v>101.1</v>
      </c>
      <c r="C12" s="12">
        <v>103.6</v>
      </c>
      <c r="D12" s="12">
        <v>104.2</v>
      </c>
      <c r="E12" s="12">
        <v>101</v>
      </c>
      <c r="F12" s="12">
        <v>116.1</v>
      </c>
      <c r="G12" s="12">
        <v>80.900000000000006</v>
      </c>
      <c r="H12" s="12">
        <v>3.7</v>
      </c>
      <c r="I12" s="12">
        <v>2.2999999999999998</v>
      </c>
      <c r="J12" s="12">
        <v>1.1000000000000001</v>
      </c>
      <c r="K12" s="12">
        <v>0.2</v>
      </c>
      <c r="L12" s="12">
        <v>2.4</v>
      </c>
      <c r="M12" s="12">
        <v>0.75</v>
      </c>
      <c r="N12" s="12">
        <v>4.24</v>
      </c>
      <c r="O12" s="12">
        <v>1.5</v>
      </c>
      <c r="P12" s="13">
        <f t="shared" si="0"/>
        <v>1.3000000000000003</v>
      </c>
      <c r="Q12" s="13">
        <f t="shared" si="1"/>
        <v>1.8400000000000003</v>
      </c>
      <c r="R12" s="13">
        <f t="shared" si="4"/>
        <v>103.71413912222015</v>
      </c>
      <c r="S12" s="6">
        <f t="shared" si="2"/>
        <v>2018</v>
      </c>
      <c r="T12" s="6" t="str">
        <f t="shared" si="3"/>
        <v>Q4</v>
      </c>
    </row>
    <row r="13" spans="1:20" ht="15.75" customHeight="1" x14ac:dyDescent="0.25">
      <c r="A13" s="8" t="s">
        <v>93</v>
      </c>
      <c r="B13" s="9">
        <v>102.5</v>
      </c>
      <c r="C13" s="9">
        <v>103.8</v>
      </c>
      <c r="D13" s="9">
        <v>105.9</v>
      </c>
      <c r="E13" s="9">
        <v>101.7</v>
      </c>
      <c r="F13" s="9">
        <v>117.4</v>
      </c>
      <c r="G13" s="9">
        <v>82.5</v>
      </c>
      <c r="H13" s="9">
        <v>4.4000000000000004</v>
      </c>
      <c r="I13" s="9">
        <v>2.4</v>
      </c>
      <c r="J13" s="9">
        <v>0</v>
      </c>
      <c r="K13" s="9">
        <v>0.9</v>
      </c>
      <c r="L13" s="9">
        <v>2.2999999999999998</v>
      </c>
      <c r="M13" s="9">
        <v>0.75</v>
      </c>
      <c r="N13" s="9">
        <v>3.15</v>
      </c>
      <c r="O13" s="9">
        <v>1.7</v>
      </c>
      <c r="P13" s="10">
        <f t="shared" si="0"/>
        <v>2.1000000000000005</v>
      </c>
      <c r="Q13" s="10">
        <f t="shared" si="1"/>
        <v>0.85000000000000009</v>
      </c>
      <c r="R13" s="10">
        <f t="shared" si="4"/>
        <v>104.59570930475901</v>
      </c>
      <c r="S13" s="5">
        <f t="shared" si="2"/>
        <v>2018</v>
      </c>
      <c r="T13" s="5" t="str">
        <f t="shared" si="3"/>
        <v>Q4</v>
      </c>
    </row>
    <row r="14" spans="1:20" ht="15.75" customHeight="1" x14ac:dyDescent="0.25">
      <c r="A14" s="11" t="s">
        <v>94</v>
      </c>
      <c r="B14" s="12">
        <v>102.6</v>
      </c>
      <c r="C14" s="12">
        <v>104.1</v>
      </c>
      <c r="D14" s="12">
        <v>106.2</v>
      </c>
      <c r="E14" s="12">
        <v>103.2</v>
      </c>
      <c r="F14" s="12">
        <v>116.4</v>
      </c>
      <c r="G14" s="12">
        <v>82.2</v>
      </c>
      <c r="H14" s="12">
        <v>3.7</v>
      </c>
      <c r="I14" s="12">
        <v>3</v>
      </c>
      <c r="J14" s="12">
        <v>0.7</v>
      </c>
      <c r="K14" s="12">
        <v>3.3</v>
      </c>
      <c r="L14" s="12">
        <v>2.1</v>
      </c>
      <c r="M14" s="12">
        <v>0.75</v>
      </c>
      <c r="N14" s="12">
        <v>3.18</v>
      </c>
      <c r="O14" s="12">
        <v>1.4</v>
      </c>
      <c r="P14" s="13">
        <f t="shared" si="0"/>
        <v>1.6</v>
      </c>
      <c r="Q14" s="13">
        <f t="shared" si="1"/>
        <v>1.08</v>
      </c>
      <c r="R14" s="13">
        <f t="shared" si="4"/>
        <v>105.72534296525041</v>
      </c>
      <c r="S14" s="6">
        <f t="shared" si="2"/>
        <v>2018</v>
      </c>
      <c r="T14" s="6" t="str">
        <f t="shared" si="3"/>
        <v>Q4</v>
      </c>
    </row>
    <row r="15" spans="1:20" ht="15.75" customHeight="1" x14ac:dyDescent="0.25">
      <c r="A15" s="8" t="s">
        <v>95</v>
      </c>
      <c r="B15" s="9">
        <v>102.7</v>
      </c>
      <c r="C15" s="9">
        <v>104.9</v>
      </c>
      <c r="D15" s="9">
        <v>104.8</v>
      </c>
      <c r="E15" s="9">
        <v>103</v>
      </c>
      <c r="F15" s="9">
        <v>110.9</v>
      </c>
      <c r="G15" s="9">
        <v>81</v>
      </c>
      <c r="H15" s="9">
        <v>4.3</v>
      </c>
      <c r="I15" s="9">
        <v>4.5</v>
      </c>
      <c r="J15" s="9">
        <v>-0.5</v>
      </c>
      <c r="K15" s="9">
        <v>3.4</v>
      </c>
      <c r="L15" s="9">
        <v>1.8</v>
      </c>
      <c r="M15" s="9">
        <v>0.75</v>
      </c>
      <c r="N15" s="9">
        <v>3.8</v>
      </c>
      <c r="O15" s="9">
        <v>1.2</v>
      </c>
      <c r="P15" s="10">
        <f t="shared" si="0"/>
        <v>2.5</v>
      </c>
      <c r="Q15" s="10">
        <f t="shared" si="1"/>
        <v>1.9999999999999998</v>
      </c>
      <c r="R15" s="10">
        <f t="shared" si="4"/>
        <v>107.83984982455542</v>
      </c>
      <c r="S15" s="5">
        <f t="shared" si="2"/>
        <v>2019</v>
      </c>
      <c r="T15" s="5" t="str">
        <f t="shared" si="3"/>
        <v>Q1</v>
      </c>
    </row>
    <row r="16" spans="1:20" ht="15.75" customHeight="1" x14ac:dyDescent="0.25">
      <c r="A16" s="11" t="s">
        <v>96</v>
      </c>
      <c r="B16" s="12">
        <v>103</v>
      </c>
      <c r="C16" s="12">
        <v>103.7</v>
      </c>
      <c r="D16" s="12">
        <v>105.3</v>
      </c>
      <c r="E16" s="12">
        <v>102.5</v>
      </c>
      <c r="F16" s="12">
        <v>110</v>
      </c>
      <c r="G16" s="12">
        <v>84.5</v>
      </c>
      <c r="H16" s="12">
        <v>4.4000000000000004</v>
      </c>
      <c r="I16" s="12">
        <v>2.6</v>
      </c>
      <c r="J16" s="12">
        <v>-0.2</v>
      </c>
      <c r="K16" s="12">
        <v>2.9</v>
      </c>
      <c r="L16" s="12">
        <v>1.9</v>
      </c>
      <c r="M16" s="12">
        <v>0.75</v>
      </c>
      <c r="N16" s="12">
        <v>3.67</v>
      </c>
      <c r="O16" s="12">
        <v>1.5</v>
      </c>
      <c r="P16" s="13">
        <f t="shared" si="0"/>
        <v>2.5000000000000004</v>
      </c>
      <c r="Q16" s="13">
        <f t="shared" si="1"/>
        <v>1.77</v>
      </c>
      <c r="R16" s="13">
        <f t="shared" si="4"/>
        <v>109.74861516645005</v>
      </c>
      <c r="S16" s="6">
        <f t="shared" si="2"/>
        <v>2019</v>
      </c>
      <c r="T16" s="6" t="str">
        <f t="shared" si="3"/>
        <v>Q1</v>
      </c>
    </row>
    <row r="17" spans="1:20" ht="15.75" customHeight="1" x14ac:dyDescent="0.25">
      <c r="A17" s="8" t="s">
        <v>97</v>
      </c>
      <c r="B17" s="9">
        <v>104.3</v>
      </c>
      <c r="C17" s="9">
        <v>104.2</v>
      </c>
      <c r="D17" s="9">
        <v>106.9</v>
      </c>
      <c r="E17" s="9">
        <v>104.2</v>
      </c>
      <c r="F17" s="9">
        <v>112.9</v>
      </c>
      <c r="G17" s="9">
        <v>87.2</v>
      </c>
      <c r="H17" s="9">
        <v>7.1</v>
      </c>
      <c r="I17" s="9">
        <v>4.0999999999999996</v>
      </c>
      <c r="J17" s="9">
        <v>-1.9</v>
      </c>
      <c r="K17" s="9">
        <v>6.4</v>
      </c>
      <c r="L17" s="9">
        <v>1.9</v>
      </c>
      <c r="M17" s="9">
        <v>0.75</v>
      </c>
      <c r="N17" s="9">
        <v>2.31</v>
      </c>
      <c r="O17" s="9">
        <v>1.9</v>
      </c>
      <c r="P17" s="10">
        <f t="shared" si="0"/>
        <v>5.1999999999999993</v>
      </c>
      <c r="Q17" s="10">
        <f t="shared" si="1"/>
        <v>0.41000000000000014</v>
      </c>
      <c r="R17" s="10">
        <f t="shared" si="4"/>
        <v>110.19858448863249</v>
      </c>
      <c r="S17" s="5">
        <f t="shared" si="2"/>
        <v>2019</v>
      </c>
      <c r="T17" s="5" t="str">
        <f t="shared" si="3"/>
        <v>Q1</v>
      </c>
    </row>
    <row r="18" spans="1:20" ht="15.75" customHeight="1" x14ac:dyDescent="0.25">
      <c r="A18" s="11" t="s">
        <v>98</v>
      </c>
      <c r="B18" s="12">
        <v>103.8</v>
      </c>
      <c r="C18" s="12">
        <v>104.7</v>
      </c>
      <c r="D18" s="12">
        <v>105.5</v>
      </c>
      <c r="E18" s="12">
        <v>105.6</v>
      </c>
      <c r="F18" s="12">
        <v>110.3</v>
      </c>
      <c r="G18" s="12">
        <v>87.4</v>
      </c>
      <c r="H18" s="12">
        <v>4.9000000000000004</v>
      </c>
      <c r="I18" s="12">
        <v>3</v>
      </c>
      <c r="J18" s="12">
        <v>-0.7</v>
      </c>
      <c r="K18" s="12">
        <v>6.6</v>
      </c>
      <c r="L18" s="12">
        <v>2.1</v>
      </c>
      <c r="M18" s="12">
        <v>0.75</v>
      </c>
      <c r="N18" s="12">
        <v>3.69</v>
      </c>
      <c r="O18" s="12">
        <v>1.8</v>
      </c>
      <c r="P18" s="13">
        <f t="shared" si="0"/>
        <v>2.8000000000000003</v>
      </c>
      <c r="Q18" s="13">
        <f t="shared" si="1"/>
        <v>1.5899999999999999</v>
      </c>
      <c r="R18" s="13">
        <f t="shared" si="4"/>
        <v>111.95074198200174</v>
      </c>
      <c r="S18" s="6">
        <f t="shared" si="2"/>
        <v>2019</v>
      </c>
      <c r="T18" s="6" t="str">
        <f t="shared" si="3"/>
        <v>Q2</v>
      </c>
    </row>
    <row r="19" spans="1:20" ht="15.75" customHeight="1" x14ac:dyDescent="0.25">
      <c r="A19" s="8" t="s">
        <v>99</v>
      </c>
      <c r="B19" s="9">
        <v>102.9</v>
      </c>
      <c r="C19" s="9">
        <v>104</v>
      </c>
      <c r="D19" s="9">
        <v>104.7</v>
      </c>
      <c r="E19" s="9">
        <v>100.8</v>
      </c>
      <c r="F19" s="9">
        <v>111</v>
      </c>
      <c r="G19" s="9">
        <v>87.1</v>
      </c>
      <c r="H19" s="9">
        <v>2.2999999999999998</v>
      </c>
      <c r="I19" s="9">
        <v>0.9</v>
      </c>
      <c r="J19" s="9">
        <v>-3.5</v>
      </c>
      <c r="K19" s="9">
        <v>-1</v>
      </c>
      <c r="L19" s="9">
        <v>2</v>
      </c>
      <c r="M19" s="9">
        <v>0.75</v>
      </c>
      <c r="N19" s="9">
        <v>4.09</v>
      </c>
      <c r="O19" s="9">
        <v>1.8</v>
      </c>
      <c r="P19" s="10">
        <f t="shared" si="0"/>
        <v>0.29999999999999982</v>
      </c>
      <c r="Q19" s="10">
        <f t="shared" si="1"/>
        <v>2.09</v>
      </c>
      <c r="R19" s="10">
        <f t="shared" si="4"/>
        <v>114.29051248942557</v>
      </c>
      <c r="S19" s="5">
        <f t="shared" si="2"/>
        <v>2019</v>
      </c>
      <c r="T19" s="5" t="str">
        <f t="shared" si="3"/>
        <v>Q2</v>
      </c>
    </row>
    <row r="20" spans="1:20" ht="15.75" customHeight="1" x14ac:dyDescent="0.25">
      <c r="A20" s="11" t="s">
        <v>100</v>
      </c>
      <c r="B20" s="12">
        <v>104.2</v>
      </c>
      <c r="C20" s="12">
        <v>103.8</v>
      </c>
      <c r="D20" s="12">
        <v>107.4</v>
      </c>
      <c r="E20" s="12">
        <v>104.6</v>
      </c>
      <c r="F20" s="12">
        <v>112.2</v>
      </c>
      <c r="G20" s="12">
        <v>88.2</v>
      </c>
      <c r="H20" s="12">
        <v>4.0999999999999996</v>
      </c>
      <c r="I20" s="12">
        <v>1.5</v>
      </c>
      <c r="J20" s="12">
        <v>-3.1</v>
      </c>
      <c r="K20" s="12">
        <v>3.3</v>
      </c>
      <c r="L20" s="12">
        <v>2</v>
      </c>
      <c r="M20" s="12">
        <v>0.75</v>
      </c>
      <c r="N20" s="12">
        <v>3.98</v>
      </c>
      <c r="O20" s="12">
        <v>1.5</v>
      </c>
      <c r="P20" s="13">
        <f t="shared" si="0"/>
        <v>2.0999999999999996</v>
      </c>
      <c r="Q20" s="13">
        <f t="shared" si="1"/>
        <v>1.98</v>
      </c>
      <c r="R20" s="13">
        <f t="shared" si="4"/>
        <v>116.5534646367162</v>
      </c>
      <c r="S20" s="6">
        <f t="shared" si="2"/>
        <v>2019</v>
      </c>
      <c r="T20" s="6" t="str">
        <f t="shared" si="3"/>
        <v>Q2</v>
      </c>
    </row>
    <row r="21" spans="1:20" ht="15.75" customHeight="1" x14ac:dyDescent="0.25">
      <c r="A21" s="8" t="s">
        <v>101</v>
      </c>
      <c r="B21" s="9">
        <v>105.3</v>
      </c>
      <c r="C21" s="9">
        <v>104.7</v>
      </c>
      <c r="D21" s="9">
        <v>106.1</v>
      </c>
      <c r="E21" s="9">
        <v>104.9</v>
      </c>
      <c r="F21" s="9">
        <v>108.2</v>
      </c>
      <c r="G21" s="9">
        <v>97.6</v>
      </c>
      <c r="H21" s="9">
        <v>4.4000000000000004</v>
      </c>
      <c r="I21" s="9">
        <v>1.6</v>
      </c>
      <c r="J21" s="9">
        <v>-1</v>
      </c>
      <c r="K21" s="9">
        <v>1.9</v>
      </c>
      <c r="L21" s="9">
        <v>2.1</v>
      </c>
      <c r="M21" s="9">
        <v>0.75</v>
      </c>
      <c r="N21" s="9">
        <v>4.03</v>
      </c>
      <c r="O21" s="9">
        <v>1</v>
      </c>
      <c r="P21" s="10">
        <f t="shared" si="0"/>
        <v>2.3000000000000003</v>
      </c>
      <c r="Q21" s="10">
        <f t="shared" si="1"/>
        <v>1.9300000000000002</v>
      </c>
      <c r="R21" s="10">
        <f t="shared" si="4"/>
        <v>118.80294650420484</v>
      </c>
      <c r="S21" s="5">
        <f t="shared" si="2"/>
        <v>2019</v>
      </c>
      <c r="T21" s="5" t="str">
        <f t="shared" si="3"/>
        <v>Q3</v>
      </c>
    </row>
    <row r="22" spans="1:20" ht="15.75" customHeight="1" x14ac:dyDescent="0.25">
      <c r="A22" s="11" t="s">
        <v>102</v>
      </c>
      <c r="B22" s="12">
        <v>104.4</v>
      </c>
      <c r="C22" s="12">
        <v>104.6</v>
      </c>
      <c r="D22" s="12">
        <v>105.6</v>
      </c>
      <c r="E22" s="12">
        <v>103.6</v>
      </c>
      <c r="F22" s="12">
        <v>109.6</v>
      </c>
      <c r="G22" s="12">
        <v>93.6</v>
      </c>
      <c r="H22" s="12">
        <v>3.1</v>
      </c>
      <c r="I22" s="12">
        <v>2.4</v>
      </c>
      <c r="J22" s="12">
        <v>-2.5</v>
      </c>
      <c r="K22" s="12">
        <v>2.9</v>
      </c>
      <c r="L22" s="12">
        <v>1.7</v>
      </c>
      <c r="M22" s="12">
        <v>0.75</v>
      </c>
      <c r="N22" s="12">
        <v>3.38</v>
      </c>
      <c r="O22" s="12">
        <v>0.5</v>
      </c>
      <c r="P22" s="13">
        <f t="shared" si="0"/>
        <v>1.4000000000000001</v>
      </c>
      <c r="Q22" s="13">
        <f t="shared" si="1"/>
        <v>1.68</v>
      </c>
      <c r="R22" s="13">
        <f t="shared" si="4"/>
        <v>120.79883600547548</v>
      </c>
      <c r="S22" s="6">
        <f t="shared" si="2"/>
        <v>2019</v>
      </c>
      <c r="T22" s="6" t="str">
        <f t="shared" si="3"/>
        <v>Q3</v>
      </c>
    </row>
    <row r="23" spans="1:20" ht="15.75" customHeight="1" x14ac:dyDescent="0.25">
      <c r="A23" s="8" t="s">
        <v>103</v>
      </c>
      <c r="B23" s="9">
        <v>104.4</v>
      </c>
      <c r="C23" s="9">
        <v>105.4</v>
      </c>
      <c r="D23" s="9">
        <v>105.5</v>
      </c>
      <c r="E23" s="9">
        <v>103.5</v>
      </c>
      <c r="F23" s="9">
        <v>113</v>
      </c>
      <c r="G23" s="9">
        <v>92.9</v>
      </c>
      <c r="H23" s="9">
        <v>3.2</v>
      </c>
      <c r="I23" s="9">
        <v>3.7</v>
      </c>
      <c r="J23" s="9">
        <v>-3.6</v>
      </c>
      <c r="K23" s="9">
        <v>2.2000000000000002</v>
      </c>
      <c r="L23" s="9">
        <v>1.7</v>
      </c>
      <c r="M23" s="9">
        <v>0.75</v>
      </c>
      <c r="N23" s="9">
        <v>3.96</v>
      </c>
      <c r="O23" s="9">
        <v>0.4</v>
      </c>
      <c r="P23" s="10">
        <f t="shared" si="0"/>
        <v>1.5000000000000002</v>
      </c>
      <c r="Q23" s="10">
        <f t="shared" si="1"/>
        <v>2.2599999999999998</v>
      </c>
      <c r="R23" s="10">
        <f t="shared" si="4"/>
        <v>123.52888969919923</v>
      </c>
      <c r="S23" s="5">
        <f t="shared" si="2"/>
        <v>2019</v>
      </c>
      <c r="T23" s="5" t="str">
        <f t="shared" si="3"/>
        <v>Q3</v>
      </c>
    </row>
    <row r="24" spans="1:20" ht="15.75" customHeight="1" x14ac:dyDescent="0.25">
      <c r="A24" s="11" t="s">
        <v>104</v>
      </c>
      <c r="B24" s="12">
        <v>103.9</v>
      </c>
      <c r="C24" s="12">
        <v>105.5</v>
      </c>
      <c r="D24" s="12">
        <v>104.2</v>
      </c>
      <c r="E24" s="12">
        <v>102.4</v>
      </c>
      <c r="F24" s="12">
        <v>111.3</v>
      </c>
      <c r="G24" s="12">
        <v>91.4</v>
      </c>
      <c r="H24" s="12">
        <v>3.1</v>
      </c>
      <c r="I24" s="12">
        <v>3.4</v>
      </c>
      <c r="J24" s="12">
        <v>-0.8</v>
      </c>
      <c r="K24" s="12">
        <v>1.7</v>
      </c>
      <c r="L24" s="12">
        <v>1.5</v>
      </c>
      <c r="M24" s="12">
        <v>0.75</v>
      </c>
      <c r="N24" s="12">
        <v>2.41</v>
      </c>
      <c r="O24" s="12">
        <v>0.9</v>
      </c>
      <c r="P24" s="13">
        <f t="shared" si="0"/>
        <v>1.6</v>
      </c>
      <c r="Q24" s="13">
        <f t="shared" si="1"/>
        <v>0.91000000000000014</v>
      </c>
      <c r="R24" s="13">
        <f t="shared" si="4"/>
        <v>124.65300259546196</v>
      </c>
      <c r="S24" s="6">
        <f t="shared" si="2"/>
        <v>2019</v>
      </c>
      <c r="T24" s="6" t="str">
        <f t="shared" si="3"/>
        <v>Q4</v>
      </c>
    </row>
    <row r="25" spans="1:20" ht="15.75" customHeight="1" x14ac:dyDescent="0.25">
      <c r="A25" s="8" t="s">
        <v>105</v>
      </c>
      <c r="B25" s="9">
        <v>103.4</v>
      </c>
      <c r="C25" s="9">
        <v>104.4</v>
      </c>
      <c r="D25" s="9">
        <v>104.1</v>
      </c>
      <c r="E25" s="9">
        <v>99.5</v>
      </c>
      <c r="F25" s="9">
        <v>110.6</v>
      </c>
      <c r="G25" s="9">
        <v>91.1</v>
      </c>
      <c r="H25" s="9">
        <v>1.4</v>
      </c>
      <c r="I25" s="9">
        <v>2.4</v>
      </c>
      <c r="J25" s="9">
        <v>2.2000000000000002</v>
      </c>
      <c r="K25" s="9">
        <v>-1.9</v>
      </c>
      <c r="L25" s="9">
        <v>1.5</v>
      </c>
      <c r="M25" s="9">
        <v>0.75</v>
      </c>
      <c r="N25" s="9">
        <v>3.23</v>
      </c>
      <c r="O25" s="9">
        <v>1.1000000000000001</v>
      </c>
      <c r="P25" s="10">
        <f t="shared" si="0"/>
        <v>-0.10000000000000009</v>
      </c>
      <c r="Q25" s="10">
        <f t="shared" si="1"/>
        <v>1.73</v>
      </c>
      <c r="R25" s="10">
        <f t="shared" si="4"/>
        <v>126.80949954036346</v>
      </c>
      <c r="S25" s="5">
        <f t="shared" si="2"/>
        <v>2019</v>
      </c>
      <c r="T25" s="5" t="str">
        <f t="shared" si="3"/>
        <v>Q4</v>
      </c>
    </row>
    <row r="26" spans="1:20" ht="15.75" customHeight="1" x14ac:dyDescent="0.25">
      <c r="A26" s="11" t="s">
        <v>106</v>
      </c>
      <c r="B26" s="12">
        <v>104.4</v>
      </c>
      <c r="C26" s="12">
        <v>105.7</v>
      </c>
      <c r="D26" s="12">
        <v>104.8</v>
      </c>
      <c r="E26" s="12">
        <v>101.6</v>
      </c>
      <c r="F26" s="12">
        <v>111.7</v>
      </c>
      <c r="G26" s="12">
        <v>91.9</v>
      </c>
      <c r="H26" s="12">
        <v>2.7</v>
      </c>
      <c r="I26" s="12">
        <v>3.5</v>
      </c>
      <c r="J26" s="12">
        <v>-3</v>
      </c>
      <c r="K26" s="12">
        <v>-1.6</v>
      </c>
      <c r="L26" s="12">
        <v>1.3</v>
      </c>
      <c r="M26" s="12">
        <v>0.75</v>
      </c>
      <c r="N26" s="12">
        <v>2.57</v>
      </c>
      <c r="O26" s="12">
        <v>1.1000000000000001</v>
      </c>
      <c r="P26" s="13">
        <f t="shared" si="0"/>
        <v>1.4000000000000001</v>
      </c>
      <c r="Q26" s="13">
        <f t="shared" si="1"/>
        <v>1.2699999999999998</v>
      </c>
      <c r="R26" s="13">
        <f t="shared" si="4"/>
        <v>128.41998018452608</v>
      </c>
      <c r="S26" s="6">
        <f t="shared" si="2"/>
        <v>2019</v>
      </c>
      <c r="T26" s="6" t="str">
        <f t="shared" si="3"/>
        <v>Q4</v>
      </c>
    </row>
    <row r="27" spans="1:20" ht="15.75" customHeight="1" x14ac:dyDescent="0.25">
      <c r="A27" s="8" t="s">
        <v>107</v>
      </c>
      <c r="B27" s="9">
        <v>104.3</v>
      </c>
      <c r="C27" s="9">
        <v>105.4</v>
      </c>
      <c r="D27" s="9">
        <v>106</v>
      </c>
      <c r="E27" s="9">
        <v>103.9</v>
      </c>
      <c r="F27" s="9">
        <v>110.5</v>
      </c>
      <c r="G27" s="9">
        <v>90.4</v>
      </c>
      <c r="H27" s="9">
        <v>3</v>
      </c>
      <c r="I27" s="9">
        <v>2.2999999999999998</v>
      </c>
      <c r="J27" s="9">
        <v>-1.2</v>
      </c>
      <c r="K27" s="9">
        <v>1.3</v>
      </c>
      <c r="L27" s="9">
        <v>1.8</v>
      </c>
      <c r="M27" s="9">
        <v>0.75</v>
      </c>
      <c r="N27" s="9">
        <v>3.11</v>
      </c>
      <c r="O27" s="9">
        <v>0.6</v>
      </c>
      <c r="P27" s="10">
        <f t="shared" si="0"/>
        <v>1.2</v>
      </c>
      <c r="Q27" s="10">
        <f t="shared" si="1"/>
        <v>1.3099999999999998</v>
      </c>
      <c r="R27" s="10">
        <f t="shared" si="4"/>
        <v>130.10228192494336</v>
      </c>
      <c r="S27" s="5">
        <f t="shared" si="2"/>
        <v>2020</v>
      </c>
      <c r="T27" s="5" t="str">
        <f t="shared" si="3"/>
        <v>Q1</v>
      </c>
    </row>
    <row r="28" spans="1:20" ht="15.75" customHeight="1" x14ac:dyDescent="0.25">
      <c r="A28" s="11" t="s">
        <v>108</v>
      </c>
      <c r="B28" s="12">
        <v>103.8</v>
      </c>
      <c r="C28" s="12">
        <v>104.9</v>
      </c>
      <c r="D28" s="12">
        <v>105.1</v>
      </c>
      <c r="E28" s="12">
        <v>101.8</v>
      </c>
      <c r="F28" s="12">
        <v>111.4</v>
      </c>
      <c r="G28" s="12">
        <v>90.2</v>
      </c>
      <c r="H28" s="12">
        <v>1.4</v>
      </c>
      <c r="I28" s="12">
        <v>2.6</v>
      </c>
      <c r="J28" s="12">
        <v>-2.6</v>
      </c>
      <c r="K28" s="12">
        <v>-0.7</v>
      </c>
      <c r="L28" s="12">
        <v>1.7</v>
      </c>
      <c r="M28" s="12">
        <v>0.75</v>
      </c>
      <c r="N28" s="12">
        <v>2.84</v>
      </c>
      <c r="O28" s="12">
        <v>0.3</v>
      </c>
      <c r="P28" s="13">
        <f t="shared" si="0"/>
        <v>-0.30000000000000004</v>
      </c>
      <c r="Q28" s="13">
        <f t="shared" si="1"/>
        <v>1.1399999999999999</v>
      </c>
      <c r="R28" s="13">
        <f t="shared" si="4"/>
        <v>131.58544793888771</v>
      </c>
      <c r="S28" s="6">
        <f t="shared" si="2"/>
        <v>2020</v>
      </c>
      <c r="T28" s="6" t="str">
        <f t="shared" si="3"/>
        <v>Q1</v>
      </c>
    </row>
    <row r="29" spans="1:20" ht="15.75" customHeight="1" x14ac:dyDescent="0.25">
      <c r="A29" s="8" t="s">
        <v>109</v>
      </c>
      <c r="B29" s="9">
        <v>97.4</v>
      </c>
      <c r="C29" s="9">
        <v>113.4</v>
      </c>
      <c r="D29" s="9">
        <v>84.2</v>
      </c>
      <c r="E29" s="9">
        <v>65.599999999999994</v>
      </c>
      <c r="F29" s="9">
        <v>101.2</v>
      </c>
      <c r="G29" s="9">
        <v>93.6</v>
      </c>
      <c r="H29" s="9">
        <v>-6.6</v>
      </c>
      <c r="I29" s="9">
        <v>10.1</v>
      </c>
      <c r="J29" s="9">
        <v>-0.8</v>
      </c>
      <c r="K29" s="9">
        <v>-37.9</v>
      </c>
      <c r="L29" s="9">
        <v>1.5</v>
      </c>
      <c r="M29" s="9">
        <v>0.75</v>
      </c>
      <c r="N29" s="9">
        <v>0.73</v>
      </c>
      <c r="O29" s="9">
        <v>-6.2</v>
      </c>
      <c r="P29" s="10">
        <f t="shared" si="0"/>
        <v>-8.1</v>
      </c>
      <c r="Q29" s="10">
        <f t="shared" si="1"/>
        <v>-0.77</v>
      </c>
      <c r="R29" s="10">
        <f t="shared" si="4"/>
        <v>130.57223998975826</v>
      </c>
      <c r="S29" s="5">
        <f t="shared" si="2"/>
        <v>2020</v>
      </c>
      <c r="T29" s="5" t="str">
        <f t="shared" si="3"/>
        <v>Q1</v>
      </c>
    </row>
    <row r="30" spans="1:20" ht="15.75" customHeight="1" x14ac:dyDescent="0.25">
      <c r="A30" s="11" t="s">
        <v>110</v>
      </c>
      <c r="B30" s="12">
        <v>79.900000000000006</v>
      </c>
      <c r="C30" s="12">
        <v>109.7</v>
      </c>
      <c r="D30" s="12">
        <v>49</v>
      </c>
      <c r="E30" s="12">
        <v>32.299999999999997</v>
      </c>
      <c r="F30" s="12">
        <v>54.3</v>
      </c>
      <c r="G30" s="12">
        <v>112</v>
      </c>
      <c r="H30" s="12">
        <v>-24</v>
      </c>
      <c r="I30" s="12">
        <v>5.8</v>
      </c>
      <c r="J30" s="12">
        <v>-24.7</v>
      </c>
      <c r="K30" s="12">
        <v>-70.3</v>
      </c>
      <c r="L30" s="12">
        <v>0.8</v>
      </c>
      <c r="M30" s="12">
        <v>0.1</v>
      </c>
      <c r="N30" s="12">
        <v>-0.94</v>
      </c>
      <c r="O30" s="12">
        <v>-24.5</v>
      </c>
      <c r="P30" s="13">
        <f t="shared" si="0"/>
        <v>-24.8</v>
      </c>
      <c r="Q30" s="13">
        <f t="shared" si="1"/>
        <v>-1.74</v>
      </c>
      <c r="R30" s="13">
        <f t="shared" si="4"/>
        <v>128.30028301393648</v>
      </c>
      <c r="S30" s="6">
        <f t="shared" si="2"/>
        <v>2020</v>
      </c>
      <c r="T30" s="6" t="str">
        <f t="shared" si="3"/>
        <v>Q2</v>
      </c>
    </row>
    <row r="31" spans="1:20" ht="15.75" customHeight="1" x14ac:dyDescent="0.25">
      <c r="A31" s="8" t="s">
        <v>111</v>
      </c>
      <c r="B31" s="9">
        <v>90.8</v>
      </c>
      <c r="C31" s="9">
        <v>111.6</v>
      </c>
      <c r="D31" s="9">
        <v>61.5</v>
      </c>
      <c r="E31" s="9">
        <v>38.700000000000003</v>
      </c>
      <c r="F31" s="9">
        <v>77.7</v>
      </c>
      <c r="G31" s="9">
        <v>137.4</v>
      </c>
      <c r="H31" s="9">
        <v>-13.5</v>
      </c>
      <c r="I31" s="9">
        <v>8.4</v>
      </c>
      <c r="J31" s="9">
        <v>-13.8</v>
      </c>
      <c r="K31" s="9">
        <v>-62.7</v>
      </c>
      <c r="L31" s="9">
        <v>0.5</v>
      </c>
      <c r="M31" s="9">
        <v>0.1</v>
      </c>
      <c r="N31" s="9">
        <v>-1</v>
      </c>
      <c r="O31" s="9">
        <v>-20.8</v>
      </c>
      <c r="P31" s="10">
        <f t="shared" si="0"/>
        <v>-14</v>
      </c>
      <c r="Q31" s="10">
        <f t="shared" si="1"/>
        <v>-1.5</v>
      </c>
      <c r="R31" s="10">
        <f t="shared" si="4"/>
        <v>126.37577876872743</v>
      </c>
      <c r="S31" s="5">
        <f t="shared" si="2"/>
        <v>2020</v>
      </c>
      <c r="T31" s="5" t="str">
        <f t="shared" si="3"/>
        <v>Q2</v>
      </c>
    </row>
    <row r="32" spans="1:20" ht="15.75" customHeight="1" x14ac:dyDescent="0.25">
      <c r="A32" s="11" t="s">
        <v>112</v>
      </c>
      <c r="B32" s="12">
        <v>102.1</v>
      </c>
      <c r="C32" s="12">
        <v>110.6</v>
      </c>
      <c r="D32" s="12">
        <v>88.6</v>
      </c>
      <c r="E32" s="12">
        <v>67.900000000000006</v>
      </c>
      <c r="F32" s="12">
        <v>110.9</v>
      </c>
      <c r="G32" s="12">
        <v>137.4</v>
      </c>
      <c r="H32" s="12">
        <v>-3.8</v>
      </c>
      <c r="I32" s="12">
        <v>7</v>
      </c>
      <c r="J32" s="12">
        <v>-7.2</v>
      </c>
      <c r="K32" s="12">
        <v>-36.4</v>
      </c>
      <c r="L32" s="12">
        <v>0.6</v>
      </c>
      <c r="M32" s="12">
        <v>0.1</v>
      </c>
      <c r="N32" s="12">
        <v>-1.49</v>
      </c>
      <c r="O32" s="12">
        <v>-17.2</v>
      </c>
      <c r="P32" s="13">
        <f t="shared" si="0"/>
        <v>-4.3999999999999995</v>
      </c>
      <c r="Q32" s="13">
        <f t="shared" si="1"/>
        <v>-2.09</v>
      </c>
      <c r="R32" s="13">
        <f t="shared" si="4"/>
        <v>123.73452499246102</v>
      </c>
      <c r="S32" s="6">
        <f t="shared" si="2"/>
        <v>2020</v>
      </c>
      <c r="T32" s="6" t="str">
        <f t="shared" si="3"/>
        <v>Q2</v>
      </c>
    </row>
    <row r="33" spans="1:20" ht="15.75" customHeight="1" x14ac:dyDescent="0.25">
      <c r="A33" s="8" t="s">
        <v>113</v>
      </c>
      <c r="B33" s="9">
        <v>107.1</v>
      </c>
      <c r="C33" s="9">
        <v>108.2</v>
      </c>
      <c r="D33" s="9">
        <v>100.7</v>
      </c>
      <c r="E33" s="9">
        <v>79.8</v>
      </c>
      <c r="F33" s="9">
        <v>121.1</v>
      </c>
      <c r="G33" s="9">
        <v>131.80000000000001</v>
      </c>
      <c r="H33" s="9">
        <v>0.4</v>
      </c>
      <c r="I33" s="9">
        <v>3.6</v>
      </c>
      <c r="J33" s="9">
        <v>-6.4</v>
      </c>
      <c r="K33" s="9">
        <v>-24.2</v>
      </c>
      <c r="L33" s="9">
        <v>1</v>
      </c>
      <c r="M33" s="9">
        <v>0.1</v>
      </c>
      <c r="N33" s="9">
        <v>-0.12</v>
      </c>
      <c r="O33" s="9">
        <v>-7</v>
      </c>
      <c r="P33" s="10">
        <f t="shared" si="0"/>
        <v>-0.6</v>
      </c>
      <c r="Q33" s="10">
        <f t="shared" si="1"/>
        <v>-1.1200000000000001</v>
      </c>
      <c r="R33" s="10">
        <f t="shared" si="4"/>
        <v>122.34869831254545</v>
      </c>
      <c r="S33" s="5">
        <f t="shared" si="2"/>
        <v>2020</v>
      </c>
      <c r="T33" s="5" t="str">
        <f t="shared" si="3"/>
        <v>Q3</v>
      </c>
    </row>
    <row r="34" spans="1:20" ht="15.75" customHeight="1" x14ac:dyDescent="0.25">
      <c r="A34" s="11" t="s">
        <v>114</v>
      </c>
      <c r="B34" s="12">
        <v>108.5</v>
      </c>
      <c r="C34" s="12">
        <v>110.1</v>
      </c>
      <c r="D34" s="12">
        <v>102.8</v>
      </c>
      <c r="E34" s="12">
        <v>88.4</v>
      </c>
      <c r="F34" s="12">
        <v>123.5</v>
      </c>
      <c r="G34" s="12">
        <v>127.7</v>
      </c>
      <c r="H34" s="12">
        <v>2.2000000000000002</v>
      </c>
      <c r="I34" s="12">
        <v>5.0999999999999996</v>
      </c>
      <c r="J34" s="12">
        <v>-4.3</v>
      </c>
      <c r="K34" s="12">
        <v>-15.9</v>
      </c>
      <c r="L34" s="12">
        <v>0.2</v>
      </c>
      <c r="M34" s="12">
        <v>0.1</v>
      </c>
      <c r="N34" s="12">
        <v>2.04</v>
      </c>
      <c r="O34" s="12">
        <v>-6</v>
      </c>
      <c r="P34" s="13">
        <f t="shared" si="0"/>
        <v>2</v>
      </c>
      <c r="Q34" s="13">
        <f t="shared" si="1"/>
        <v>1.84</v>
      </c>
      <c r="R34" s="13">
        <f t="shared" si="4"/>
        <v>124.59991436149629</v>
      </c>
      <c r="S34" s="6">
        <f t="shared" si="2"/>
        <v>2020</v>
      </c>
      <c r="T34" s="6" t="str">
        <f t="shared" si="3"/>
        <v>Q3</v>
      </c>
    </row>
    <row r="35" spans="1:20" ht="15.75" customHeight="1" x14ac:dyDescent="0.25">
      <c r="A35" s="8" t="s">
        <v>115</v>
      </c>
      <c r="B35" s="9">
        <v>110.2</v>
      </c>
      <c r="C35" s="9">
        <v>111</v>
      </c>
      <c r="D35" s="9">
        <v>106.8</v>
      </c>
      <c r="E35" s="9">
        <v>89.9</v>
      </c>
      <c r="F35" s="9">
        <v>127.1</v>
      </c>
      <c r="G35" s="9">
        <v>126</v>
      </c>
      <c r="H35" s="9">
        <v>3.8</v>
      </c>
      <c r="I35" s="9">
        <v>5</v>
      </c>
      <c r="J35" s="9">
        <v>-0.5</v>
      </c>
      <c r="K35" s="9">
        <v>-14.1</v>
      </c>
      <c r="L35" s="9">
        <v>0.5</v>
      </c>
      <c r="M35" s="9">
        <v>0.1</v>
      </c>
      <c r="N35" s="9">
        <v>2.58</v>
      </c>
      <c r="O35" s="9">
        <v>-8.5</v>
      </c>
      <c r="P35" s="10">
        <f t="shared" ref="P35:P66" si="5">IF(AND(H35&lt;&gt;"",L35&lt;&gt;""),H35-L35,"")</f>
        <v>3.3</v>
      </c>
      <c r="Q35" s="10">
        <f t="shared" ref="Q35:Q66" si="6">IF(AND(N35&lt;&gt;"",L35&lt;&gt;""),N35-L35,"")</f>
        <v>2.08</v>
      </c>
      <c r="R35" s="10">
        <f t="shared" si="4"/>
        <v>127.1915925802154</v>
      </c>
      <c r="S35" s="5">
        <f t="shared" ref="S35:S66" si="7">IF(A35&lt;&gt;"",LEFT(A35,4)*1,"")</f>
        <v>2020</v>
      </c>
      <c r="T35" s="5" t="str">
        <f t="shared" ref="T35:T66" si="8">IF(A35&lt;&gt;"","Q"&amp;INT((MID(A35,6,2)*1-1)/3)+1,"")</f>
        <v>Q3</v>
      </c>
    </row>
    <row r="36" spans="1:20" ht="15.75" customHeight="1" x14ac:dyDescent="0.25">
      <c r="A36" s="11" t="s">
        <v>116</v>
      </c>
      <c r="B36" s="12">
        <v>111.3</v>
      </c>
      <c r="C36" s="12">
        <v>109.6</v>
      </c>
      <c r="D36" s="12">
        <v>107.9</v>
      </c>
      <c r="E36" s="12">
        <v>88.6</v>
      </c>
      <c r="F36" s="12">
        <v>132.69999999999999</v>
      </c>
      <c r="G36" s="12">
        <v>134.19999999999999</v>
      </c>
      <c r="H36" s="12">
        <v>5.7</v>
      </c>
      <c r="I36" s="12">
        <v>3.9</v>
      </c>
      <c r="J36" s="12">
        <v>0.5</v>
      </c>
      <c r="K36" s="12">
        <v>-13.6</v>
      </c>
      <c r="L36" s="12">
        <v>0.7</v>
      </c>
      <c r="M36" s="12">
        <v>0.1</v>
      </c>
      <c r="N36" s="12">
        <v>3.73</v>
      </c>
      <c r="O36" s="12">
        <v>-7.5</v>
      </c>
      <c r="P36" s="13">
        <f t="shared" si="5"/>
        <v>5</v>
      </c>
      <c r="Q36" s="13">
        <f t="shared" si="6"/>
        <v>3.0300000000000002</v>
      </c>
      <c r="R36" s="13">
        <f t="shared" ref="R36:R67" si="9">IF(R35&lt;&gt;"",R35*(1+IFERROR(Q36/100,0)),"")</f>
        <v>131.04549783539593</v>
      </c>
      <c r="S36" s="6">
        <f t="shared" si="7"/>
        <v>2020</v>
      </c>
      <c r="T36" s="6" t="str">
        <f t="shared" si="8"/>
        <v>Q4</v>
      </c>
    </row>
    <row r="37" spans="1:20" ht="15.75" customHeight="1" x14ac:dyDescent="0.25">
      <c r="A37" s="8" t="s">
        <v>117</v>
      </c>
      <c r="B37" s="9">
        <v>106.1</v>
      </c>
      <c r="C37" s="9">
        <v>111.7</v>
      </c>
      <c r="D37" s="9">
        <v>96.5</v>
      </c>
      <c r="E37" s="9">
        <v>69.2</v>
      </c>
      <c r="F37" s="9">
        <v>126.3</v>
      </c>
      <c r="G37" s="9">
        <v>133.19999999999999</v>
      </c>
      <c r="H37" s="9">
        <v>0.6</v>
      </c>
      <c r="I37" s="9">
        <v>6.5</v>
      </c>
      <c r="J37" s="9">
        <v>-2.6</v>
      </c>
      <c r="K37" s="9">
        <v>-32.299999999999997</v>
      </c>
      <c r="L37" s="9">
        <v>0.3</v>
      </c>
      <c r="M37" s="9">
        <v>0.1</v>
      </c>
      <c r="N37" s="9">
        <v>4.74</v>
      </c>
      <c r="O37" s="9">
        <v>-8.9</v>
      </c>
      <c r="P37" s="10">
        <f t="shared" si="5"/>
        <v>0.3</v>
      </c>
      <c r="Q37" s="10">
        <f t="shared" si="6"/>
        <v>4.4400000000000004</v>
      </c>
      <c r="R37" s="10">
        <f t="shared" si="9"/>
        <v>136.86391793928752</v>
      </c>
      <c r="S37" s="5">
        <f t="shared" si="7"/>
        <v>2020</v>
      </c>
      <c r="T37" s="5" t="str">
        <f t="shared" si="8"/>
        <v>Q4</v>
      </c>
    </row>
    <row r="38" spans="1:20" ht="15.75" customHeight="1" x14ac:dyDescent="0.25">
      <c r="A38" s="11" t="s">
        <v>118</v>
      </c>
      <c r="B38" s="12">
        <v>107.2</v>
      </c>
      <c r="C38" s="12">
        <v>107.4</v>
      </c>
      <c r="D38" s="12">
        <v>105.4</v>
      </c>
      <c r="E38" s="12">
        <v>90.1</v>
      </c>
      <c r="F38" s="12">
        <v>126.6</v>
      </c>
      <c r="G38" s="12">
        <v>123.8</v>
      </c>
      <c r="H38" s="12">
        <v>1.2</v>
      </c>
      <c r="I38" s="12">
        <v>0.8</v>
      </c>
      <c r="J38" s="12">
        <v>-4.5999999999999996</v>
      </c>
      <c r="K38" s="12">
        <v>-12.3</v>
      </c>
      <c r="L38" s="12">
        <v>0.6</v>
      </c>
      <c r="M38" s="12">
        <v>0.1</v>
      </c>
      <c r="N38" s="12">
        <v>5.29</v>
      </c>
      <c r="O38" s="12">
        <v>-6.3</v>
      </c>
      <c r="P38" s="13">
        <f t="shared" si="5"/>
        <v>0.6</v>
      </c>
      <c r="Q38" s="13">
        <f t="shared" si="6"/>
        <v>4.6900000000000004</v>
      </c>
      <c r="R38" s="13">
        <f t="shared" si="9"/>
        <v>143.2828356906401</v>
      </c>
      <c r="S38" s="6">
        <f t="shared" si="7"/>
        <v>2020</v>
      </c>
      <c r="T38" s="6" t="str">
        <f t="shared" si="8"/>
        <v>Q4</v>
      </c>
    </row>
    <row r="39" spans="1:20" ht="15.75" customHeight="1" x14ac:dyDescent="0.25">
      <c r="A39" s="8" t="s">
        <v>119</v>
      </c>
      <c r="B39" s="9">
        <v>99</v>
      </c>
      <c r="C39" s="9">
        <v>111</v>
      </c>
      <c r="D39" s="9">
        <v>78.7</v>
      </c>
      <c r="E39" s="9">
        <v>55.9</v>
      </c>
      <c r="F39" s="9">
        <v>98.8</v>
      </c>
      <c r="G39" s="9">
        <v>136</v>
      </c>
      <c r="H39" s="9">
        <v>-6.1</v>
      </c>
      <c r="I39" s="9">
        <v>5</v>
      </c>
      <c r="J39" s="9">
        <v>-16.600000000000001</v>
      </c>
      <c r="K39" s="9">
        <v>-47.4</v>
      </c>
      <c r="L39" s="9">
        <v>0.7</v>
      </c>
      <c r="M39" s="9">
        <v>0.1</v>
      </c>
      <c r="N39" s="9">
        <v>4.37</v>
      </c>
      <c r="O39" s="9">
        <v>-7.5</v>
      </c>
      <c r="P39" s="10">
        <f t="shared" si="5"/>
        <v>-6.8</v>
      </c>
      <c r="Q39" s="10">
        <f t="shared" si="6"/>
        <v>3.67</v>
      </c>
      <c r="R39" s="10">
        <f t="shared" si="9"/>
        <v>148.54131576048658</v>
      </c>
      <c r="S39" s="5">
        <f t="shared" si="7"/>
        <v>2021</v>
      </c>
      <c r="T39" s="5" t="str">
        <f t="shared" si="8"/>
        <v>Q1</v>
      </c>
    </row>
    <row r="40" spans="1:20" ht="15.75" customHeight="1" x14ac:dyDescent="0.25">
      <c r="A40" s="11" t="s">
        <v>120</v>
      </c>
      <c r="B40" s="12">
        <v>99.9</v>
      </c>
      <c r="C40" s="12">
        <v>112.2</v>
      </c>
      <c r="D40" s="12">
        <v>81.400000000000006</v>
      </c>
      <c r="E40" s="12">
        <v>52.9</v>
      </c>
      <c r="F40" s="12">
        <v>112.7</v>
      </c>
      <c r="G40" s="12">
        <v>132.19999999999999</v>
      </c>
      <c r="H40" s="12">
        <v>-4.3</v>
      </c>
      <c r="I40" s="12">
        <v>6.7</v>
      </c>
      <c r="J40" s="12">
        <v>-4.0999999999999996</v>
      </c>
      <c r="K40" s="12">
        <v>-50</v>
      </c>
      <c r="L40" s="12">
        <v>0.4</v>
      </c>
      <c r="M40" s="12">
        <v>0.1</v>
      </c>
      <c r="N40" s="12">
        <v>3.96</v>
      </c>
      <c r="O40" s="12">
        <v>-5.2</v>
      </c>
      <c r="P40" s="13">
        <f t="shared" si="5"/>
        <v>-4.7</v>
      </c>
      <c r="Q40" s="13">
        <f t="shared" si="6"/>
        <v>3.56</v>
      </c>
      <c r="R40" s="13">
        <f t="shared" si="9"/>
        <v>153.82938660155992</v>
      </c>
      <c r="S40" s="6">
        <f t="shared" si="7"/>
        <v>2021</v>
      </c>
      <c r="T40" s="6" t="str">
        <f t="shared" si="8"/>
        <v>Q1</v>
      </c>
    </row>
    <row r="41" spans="1:20" ht="15.75" customHeight="1" x14ac:dyDescent="0.25">
      <c r="A41" s="8" t="s">
        <v>121</v>
      </c>
      <c r="B41" s="9">
        <v>104</v>
      </c>
      <c r="C41" s="9">
        <v>113.7</v>
      </c>
      <c r="D41" s="9">
        <v>88.5</v>
      </c>
      <c r="E41" s="9">
        <v>60.6</v>
      </c>
      <c r="F41" s="9">
        <v>117.5</v>
      </c>
      <c r="G41" s="9">
        <v>130.19999999999999</v>
      </c>
      <c r="H41" s="9">
        <v>7</v>
      </c>
      <c r="I41" s="9">
        <v>-0.2</v>
      </c>
      <c r="J41" s="9">
        <v>-0.2</v>
      </c>
      <c r="K41" s="9">
        <v>-9.3000000000000007</v>
      </c>
      <c r="L41" s="9">
        <v>0.7</v>
      </c>
      <c r="M41" s="9">
        <v>0.1</v>
      </c>
      <c r="N41" s="9">
        <v>4.22</v>
      </c>
      <c r="O41" s="9">
        <v>-1.3</v>
      </c>
      <c r="P41" s="10">
        <f t="shared" si="5"/>
        <v>6.3</v>
      </c>
      <c r="Q41" s="10">
        <f t="shared" si="6"/>
        <v>3.5199999999999996</v>
      </c>
      <c r="R41" s="10">
        <f t="shared" si="9"/>
        <v>159.24418100993481</v>
      </c>
      <c r="S41" s="5">
        <f t="shared" si="7"/>
        <v>2021</v>
      </c>
      <c r="T41" s="5" t="str">
        <f t="shared" si="8"/>
        <v>Q1</v>
      </c>
    </row>
    <row r="42" spans="1:20" ht="15.75" customHeight="1" x14ac:dyDescent="0.25">
      <c r="A42" s="11" t="s">
        <v>122</v>
      </c>
      <c r="B42" s="12">
        <v>112.7</v>
      </c>
      <c r="C42" s="12">
        <v>112.5</v>
      </c>
      <c r="D42" s="12">
        <v>109.8</v>
      </c>
      <c r="E42" s="12">
        <v>99.5</v>
      </c>
      <c r="F42" s="12">
        <v>131.4</v>
      </c>
      <c r="G42" s="12">
        <v>129.5</v>
      </c>
      <c r="H42" s="12">
        <v>43.4</v>
      </c>
      <c r="I42" s="12">
        <v>3</v>
      </c>
      <c r="J42" s="12">
        <v>35.4</v>
      </c>
      <c r="K42" s="12">
        <v>212.7</v>
      </c>
      <c r="L42" s="12">
        <v>1.5</v>
      </c>
      <c r="M42" s="12">
        <v>0.1</v>
      </c>
      <c r="N42" s="12">
        <v>8.8000000000000007</v>
      </c>
      <c r="O42" s="12">
        <v>27.5</v>
      </c>
      <c r="P42" s="13">
        <f t="shared" si="5"/>
        <v>41.9</v>
      </c>
      <c r="Q42" s="13">
        <f t="shared" si="6"/>
        <v>7.3000000000000007</v>
      </c>
      <c r="R42" s="13">
        <f t="shared" si="9"/>
        <v>170.86900622366005</v>
      </c>
      <c r="S42" s="6">
        <f t="shared" si="7"/>
        <v>2021</v>
      </c>
      <c r="T42" s="6" t="str">
        <f t="shared" si="8"/>
        <v>Q2</v>
      </c>
    </row>
    <row r="43" spans="1:20" ht="15.75" customHeight="1" x14ac:dyDescent="0.25">
      <c r="A43" s="8" t="s">
        <v>123</v>
      </c>
      <c r="B43" s="9">
        <v>110.5</v>
      </c>
      <c r="C43" s="9">
        <v>107.2</v>
      </c>
      <c r="D43" s="9">
        <v>111.4</v>
      </c>
      <c r="E43" s="9">
        <v>95.8</v>
      </c>
      <c r="F43" s="9">
        <v>135.6</v>
      </c>
      <c r="G43" s="9">
        <v>122.3</v>
      </c>
      <c r="H43" s="9">
        <v>25.2</v>
      </c>
      <c r="I43" s="9">
        <v>-3.8</v>
      </c>
      <c r="J43" s="9">
        <v>14.4</v>
      </c>
      <c r="K43" s="9">
        <v>154.4</v>
      </c>
      <c r="L43" s="9">
        <v>2.1</v>
      </c>
      <c r="M43" s="9">
        <v>0.1</v>
      </c>
      <c r="N43" s="9">
        <v>9.34</v>
      </c>
      <c r="O43" s="9">
        <v>24.3</v>
      </c>
      <c r="P43" s="10">
        <f t="shared" si="5"/>
        <v>23.099999999999998</v>
      </c>
      <c r="Q43" s="10">
        <f t="shared" si="6"/>
        <v>7.24</v>
      </c>
      <c r="R43" s="10">
        <f t="shared" si="9"/>
        <v>183.23992227425305</v>
      </c>
      <c r="S43" s="5">
        <f t="shared" si="7"/>
        <v>2021</v>
      </c>
      <c r="T43" s="5" t="str">
        <f t="shared" si="8"/>
        <v>Q2</v>
      </c>
    </row>
    <row r="44" spans="1:20" ht="15.75" customHeight="1" x14ac:dyDescent="0.25">
      <c r="A44" s="11" t="s">
        <v>124</v>
      </c>
      <c r="B44" s="12">
        <v>111.2</v>
      </c>
      <c r="C44" s="12">
        <v>110.4</v>
      </c>
      <c r="D44" s="12">
        <v>110.1</v>
      </c>
      <c r="E44" s="12">
        <v>96.4</v>
      </c>
      <c r="F44" s="12">
        <v>125.1</v>
      </c>
      <c r="G44" s="12">
        <v>120.5</v>
      </c>
      <c r="H44" s="12">
        <v>12.8</v>
      </c>
      <c r="I44" s="12">
        <v>0.6</v>
      </c>
      <c r="J44" s="12">
        <v>4</v>
      </c>
      <c r="K44" s="12">
        <v>46.4</v>
      </c>
      <c r="L44" s="12">
        <v>2.5</v>
      </c>
      <c r="M44" s="12">
        <v>0.1</v>
      </c>
      <c r="N44" s="12">
        <v>8.64</v>
      </c>
      <c r="O44" s="12">
        <v>22.8</v>
      </c>
      <c r="P44" s="13">
        <f t="shared" si="5"/>
        <v>10.3</v>
      </c>
      <c r="Q44" s="13">
        <f t="shared" si="6"/>
        <v>6.1400000000000006</v>
      </c>
      <c r="R44" s="13">
        <f t="shared" si="9"/>
        <v>194.49085350189216</v>
      </c>
      <c r="S44" s="6">
        <f t="shared" si="7"/>
        <v>2021</v>
      </c>
      <c r="T44" s="6" t="str">
        <f t="shared" si="8"/>
        <v>Q2</v>
      </c>
    </row>
    <row r="45" spans="1:20" ht="15.75" customHeight="1" x14ac:dyDescent="0.25">
      <c r="A45" s="8" t="s">
        <v>125</v>
      </c>
      <c r="B45" s="9">
        <v>108.8</v>
      </c>
      <c r="C45" s="9">
        <v>109.9</v>
      </c>
      <c r="D45" s="9">
        <v>106</v>
      </c>
      <c r="E45" s="9">
        <v>94.2</v>
      </c>
      <c r="F45" s="9">
        <v>121.1</v>
      </c>
      <c r="G45" s="9">
        <v>115</v>
      </c>
      <c r="H45" s="9">
        <v>5</v>
      </c>
      <c r="I45" s="9">
        <v>2</v>
      </c>
      <c r="J45" s="9">
        <v>1</v>
      </c>
      <c r="K45" s="9">
        <v>20.3</v>
      </c>
      <c r="L45" s="9">
        <v>2</v>
      </c>
      <c r="M45" s="9">
        <v>0.1</v>
      </c>
      <c r="N45" s="9">
        <v>7.28</v>
      </c>
      <c r="O45" s="9">
        <v>7</v>
      </c>
      <c r="P45" s="10">
        <f t="shared" si="5"/>
        <v>3</v>
      </c>
      <c r="Q45" s="10">
        <f t="shared" si="6"/>
        <v>5.28</v>
      </c>
      <c r="R45" s="10">
        <f t="shared" si="9"/>
        <v>204.75997056679205</v>
      </c>
      <c r="S45" s="5">
        <f t="shared" si="7"/>
        <v>2021</v>
      </c>
      <c r="T45" s="5" t="str">
        <f t="shared" si="8"/>
        <v>Q3</v>
      </c>
    </row>
    <row r="46" spans="1:20" ht="15.75" customHeight="1" x14ac:dyDescent="0.25">
      <c r="A46" s="11" t="s">
        <v>126</v>
      </c>
      <c r="B46" s="12">
        <v>108.9</v>
      </c>
      <c r="C46" s="12">
        <v>108.7</v>
      </c>
      <c r="D46" s="12">
        <v>107.1</v>
      </c>
      <c r="E46" s="12">
        <v>98.3</v>
      </c>
      <c r="F46" s="12">
        <v>118.1</v>
      </c>
      <c r="G46" s="12">
        <v>114.4</v>
      </c>
      <c r="H46" s="12">
        <v>4.3</v>
      </c>
      <c r="I46" s="12">
        <v>0.1</v>
      </c>
      <c r="J46" s="12">
        <v>-0.5</v>
      </c>
      <c r="K46" s="12">
        <v>13.5</v>
      </c>
      <c r="L46" s="12">
        <v>3.2</v>
      </c>
      <c r="M46" s="12">
        <v>0.1</v>
      </c>
      <c r="N46" s="12">
        <v>5.81</v>
      </c>
      <c r="O46" s="12">
        <v>6.2</v>
      </c>
      <c r="P46" s="13">
        <f t="shared" si="5"/>
        <v>1.0999999999999996</v>
      </c>
      <c r="Q46" s="13">
        <f t="shared" si="6"/>
        <v>2.6099999999999994</v>
      </c>
      <c r="R46" s="13">
        <f t="shared" si="9"/>
        <v>210.10420579858533</v>
      </c>
      <c r="S46" s="6">
        <f t="shared" si="7"/>
        <v>2021</v>
      </c>
      <c r="T46" s="6" t="str">
        <f t="shared" si="8"/>
        <v>Q3</v>
      </c>
    </row>
    <row r="47" spans="1:20" ht="15.75" customHeight="1" x14ac:dyDescent="0.25">
      <c r="A47" s="8" t="s">
        <v>127</v>
      </c>
      <c r="B47" s="9">
        <v>109</v>
      </c>
      <c r="C47" s="9">
        <v>108.3</v>
      </c>
      <c r="D47" s="9">
        <v>106.9</v>
      </c>
      <c r="E47" s="9">
        <v>100</v>
      </c>
      <c r="F47" s="9">
        <v>111.9</v>
      </c>
      <c r="G47" s="9">
        <v>115.8</v>
      </c>
      <c r="H47" s="9">
        <v>3.2</v>
      </c>
      <c r="I47" s="9">
        <v>-0.6</v>
      </c>
      <c r="J47" s="9">
        <v>0.4</v>
      </c>
      <c r="K47" s="9">
        <v>13.3</v>
      </c>
      <c r="L47" s="9">
        <v>3.1</v>
      </c>
      <c r="M47" s="9">
        <v>0.1</v>
      </c>
      <c r="N47" s="9">
        <v>4.76</v>
      </c>
      <c r="O47" s="9">
        <v>5.4</v>
      </c>
      <c r="P47" s="10">
        <f t="shared" si="5"/>
        <v>0.10000000000000009</v>
      </c>
      <c r="Q47" s="10">
        <f t="shared" si="6"/>
        <v>1.6599999999999997</v>
      </c>
      <c r="R47" s="10">
        <f t="shared" si="9"/>
        <v>213.59193561484184</v>
      </c>
      <c r="S47" s="5">
        <f t="shared" si="7"/>
        <v>2021</v>
      </c>
      <c r="T47" s="5" t="str">
        <f t="shared" si="8"/>
        <v>Q3</v>
      </c>
    </row>
    <row r="48" spans="1:20" ht="15.75" customHeight="1" x14ac:dyDescent="0.25">
      <c r="A48" s="11" t="s">
        <v>128</v>
      </c>
      <c r="B48" s="12">
        <v>108.8</v>
      </c>
      <c r="C48" s="12">
        <v>108.7</v>
      </c>
      <c r="D48" s="12">
        <v>109.1</v>
      </c>
      <c r="E48" s="12">
        <v>103</v>
      </c>
      <c r="F48" s="12">
        <v>114.8</v>
      </c>
      <c r="G48" s="12">
        <v>112.6</v>
      </c>
      <c r="H48" s="12">
        <v>2.6</v>
      </c>
      <c r="I48" s="12">
        <v>1.4</v>
      </c>
      <c r="J48" s="12">
        <v>-1</v>
      </c>
      <c r="K48" s="12">
        <v>17.8</v>
      </c>
      <c r="L48" s="12">
        <v>4.2</v>
      </c>
      <c r="M48" s="12">
        <v>0.1</v>
      </c>
      <c r="N48" s="12">
        <v>4.6500000000000004</v>
      </c>
      <c r="O48" s="12">
        <v>4.7</v>
      </c>
      <c r="P48" s="13">
        <f t="shared" si="5"/>
        <v>-1.6</v>
      </c>
      <c r="Q48" s="13">
        <f t="shared" si="6"/>
        <v>0.45000000000000018</v>
      </c>
      <c r="R48" s="13">
        <f t="shared" si="9"/>
        <v>214.55309932510863</v>
      </c>
      <c r="S48" s="6">
        <f t="shared" si="7"/>
        <v>2021</v>
      </c>
      <c r="T48" s="6" t="str">
        <f t="shared" si="8"/>
        <v>Q4</v>
      </c>
    </row>
    <row r="49" spans="1:20" ht="15.75" customHeight="1" x14ac:dyDescent="0.25">
      <c r="A49" s="8" t="s">
        <v>129</v>
      </c>
      <c r="B49" s="9">
        <v>108.5</v>
      </c>
      <c r="C49" s="9">
        <v>107.4</v>
      </c>
      <c r="D49" s="9">
        <v>107.9</v>
      </c>
      <c r="E49" s="9">
        <v>103.1</v>
      </c>
      <c r="F49" s="9">
        <v>110.8</v>
      </c>
      <c r="G49" s="9">
        <v>113.3</v>
      </c>
      <c r="H49" s="9">
        <v>9.4</v>
      </c>
      <c r="I49" s="9">
        <v>-0.3</v>
      </c>
      <c r="J49" s="9">
        <v>-2.2000000000000002</v>
      </c>
      <c r="K49" s="9">
        <v>55.6</v>
      </c>
      <c r="L49" s="9">
        <v>5.0999999999999996</v>
      </c>
      <c r="M49" s="9">
        <v>0.1</v>
      </c>
      <c r="N49" s="9">
        <v>3.79</v>
      </c>
      <c r="O49" s="9">
        <v>5.9</v>
      </c>
      <c r="P49" s="10">
        <f t="shared" si="5"/>
        <v>4.3000000000000007</v>
      </c>
      <c r="Q49" s="10">
        <f t="shared" si="6"/>
        <v>-1.3099999999999996</v>
      </c>
      <c r="R49" s="10">
        <f t="shared" si="9"/>
        <v>211.74245372394972</v>
      </c>
      <c r="S49" s="5">
        <f t="shared" si="7"/>
        <v>2021</v>
      </c>
      <c r="T49" s="5" t="str">
        <f t="shared" si="8"/>
        <v>Q4</v>
      </c>
    </row>
    <row r="50" spans="1:20" ht="15.75" customHeight="1" x14ac:dyDescent="0.25">
      <c r="A50" s="11" t="s">
        <v>130</v>
      </c>
      <c r="B50" s="12">
        <v>108.6</v>
      </c>
      <c r="C50" s="12">
        <v>108.3</v>
      </c>
      <c r="D50" s="12">
        <v>106.4</v>
      </c>
      <c r="E50" s="12">
        <v>100.2</v>
      </c>
      <c r="F50" s="12">
        <v>115.6</v>
      </c>
      <c r="G50" s="12">
        <v>117.5</v>
      </c>
      <c r="H50" s="12">
        <v>8.4</v>
      </c>
      <c r="I50" s="12">
        <v>5.4</v>
      </c>
      <c r="J50" s="12">
        <v>2.4</v>
      </c>
      <c r="K50" s="12">
        <v>16.2</v>
      </c>
      <c r="L50" s="12">
        <v>5.4</v>
      </c>
      <c r="M50" s="12">
        <v>0.1</v>
      </c>
      <c r="N50" s="12">
        <v>6.22</v>
      </c>
      <c r="O50" s="12">
        <v>6.3</v>
      </c>
      <c r="P50" s="13">
        <f t="shared" si="5"/>
        <v>3</v>
      </c>
      <c r="Q50" s="13">
        <f t="shared" si="6"/>
        <v>0.8199999999999994</v>
      </c>
      <c r="R50" s="13">
        <f t="shared" si="9"/>
        <v>213.47874184448611</v>
      </c>
      <c r="S50" s="6">
        <f t="shared" si="7"/>
        <v>2021</v>
      </c>
      <c r="T50" s="6" t="str">
        <f t="shared" si="8"/>
        <v>Q4</v>
      </c>
    </row>
    <row r="51" spans="1:20" ht="15.75" customHeight="1" x14ac:dyDescent="0.25">
      <c r="A51" s="8" t="s">
        <v>131</v>
      </c>
      <c r="B51" s="9">
        <v>107.7</v>
      </c>
      <c r="C51" s="9">
        <v>105.2</v>
      </c>
      <c r="D51" s="9">
        <v>105.3</v>
      </c>
      <c r="E51" s="9">
        <v>92.5</v>
      </c>
      <c r="F51" s="9">
        <v>111.5</v>
      </c>
      <c r="G51" s="9">
        <v>121.9</v>
      </c>
      <c r="H51" s="9">
        <v>16.399999999999999</v>
      </c>
      <c r="I51" s="9">
        <v>-0.7</v>
      </c>
      <c r="J51" s="9">
        <v>16.3</v>
      </c>
      <c r="K51" s="9">
        <v>76.099999999999994</v>
      </c>
      <c r="L51" s="9">
        <v>5.5</v>
      </c>
      <c r="M51" s="9">
        <v>0.25</v>
      </c>
      <c r="N51" s="9">
        <v>5.53</v>
      </c>
      <c r="O51" s="9">
        <v>9.3000000000000007</v>
      </c>
      <c r="P51" s="10">
        <f t="shared" si="5"/>
        <v>10.899999999999999</v>
      </c>
      <c r="Q51" s="10">
        <f t="shared" si="6"/>
        <v>3.0000000000000249E-2</v>
      </c>
      <c r="R51" s="10">
        <f t="shared" si="9"/>
        <v>213.54278546703944</v>
      </c>
      <c r="S51" s="5">
        <f t="shared" si="7"/>
        <v>2022</v>
      </c>
      <c r="T51" s="5" t="str">
        <f t="shared" si="8"/>
        <v>Q1</v>
      </c>
    </row>
    <row r="52" spans="1:20" ht="15.75" customHeight="1" x14ac:dyDescent="0.25">
      <c r="A52" s="11" t="s">
        <v>132</v>
      </c>
      <c r="B52" s="12">
        <v>106.3</v>
      </c>
      <c r="C52" s="12">
        <v>104.4</v>
      </c>
      <c r="D52" s="12">
        <v>105.2</v>
      </c>
      <c r="E52" s="12">
        <v>100.1</v>
      </c>
      <c r="F52" s="12">
        <v>110.6</v>
      </c>
      <c r="G52" s="12">
        <v>114</v>
      </c>
      <c r="H52" s="12">
        <v>15.1</v>
      </c>
      <c r="I52" s="12">
        <v>-1.8</v>
      </c>
      <c r="J52" s="12">
        <v>5.6</v>
      </c>
      <c r="K52" s="12">
        <v>104.9</v>
      </c>
      <c r="L52" s="12">
        <v>6.2</v>
      </c>
      <c r="M52" s="12">
        <v>0.25</v>
      </c>
      <c r="N52" s="12">
        <v>6.02</v>
      </c>
      <c r="O52" s="12">
        <v>9.6999999999999993</v>
      </c>
      <c r="P52" s="13">
        <f t="shared" si="5"/>
        <v>8.8999999999999986</v>
      </c>
      <c r="Q52" s="13">
        <f t="shared" si="6"/>
        <v>-0.1800000000000006</v>
      </c>
      <c r="R52" s="13">
        <f t="shared" si="9"/>
        <v>213.15840845319877</v>
      </c>
      <c r="S52" s="6">
        <f t="shared" si="7"/>
        <v>2022</v>
      </c>
      <c r="T52" s="6" t="str">
        <f t="shared" si="8"/>
        <v>Q1</v>
      </c>
    </row>
    <row r="53" spans="1:20" ht="15.75" customHeight="1" x14ac:dyDescent="0.25">
      <c r="A53" s="8" t="s">
        <v>133</v>
      </c>
      <c r="B53" s="9">
        <v>105.5</v>
      </c>
      <c r="C53" s="9">
        <v>104.5</v>
      </c>
      <c r="D53" s="9">
        <v>107.4</v>
      </c>
      <c r="E53" s="9">
        <v>99.8</v>
      </c>
      <c r="F53" s="9">
        <v>112.8</v>
      </c>
      <c r="G53" s="9">
        <v>102.2</v>
      </c>
      <c r="H53" s="9">
        <v>11.8</v>
      </c>
      <c r="I53" s="9">
        <v>-1.8</v>
      </c>
      <c r="J53" s="9">
        <v>4.2</v>
      </c>
      <c r="K53" s="9">
        <v>79.900000000000006</v>
      </c>
      <c r="L53" s="9">
        <v>7</v>
      </c>
      <c r="M53" s="9">
        <v>0.5</v>
      </c>
      <c r="N53" s="9">
        <v>10.32</v>
      </c>
      <c r="O53" s="9">
        <v>8.6</v>
      </c>
      <c r="P53" s="10">
        <f t="shared" si="5"/>
        <v>4.8000000000000007</v>
      </c>
      <c r="Q53" s="10">
        <f t="shared" si="6"/>
        <v>3.3200000000000003</v>
      </c>
      <c r="R53" s="10">
        <f t="shared" si="9"/>
        <v>220.23526761384494</v>
      </c>
      <c r="S53" s="5">
        <f t="shared" si="7"/>
        <v>2022</v>
      </c>
      <c r="T53" s="5" t="str">
        <f t="shared" si="8"/>
        <v>Q1</v>
      </c>
    </row>
    <row r="54" spans="1:20" ht="15.75" customHeight="1" x14ac:dyDescent="0.25">
      <c r="A54" s="11" t="s">
        <v>134</v>
      </c>
      <c r="B54" s="12">
        <v>104.6</v>
      </c>
      <c r="C54" s="12">
        <v>103.7</v>
      </c>
      <c r="D54" s="12">
        <v>104</v>
      </c>
      <c r="E54" s="12">
        <v>100</v>
      </c>
      <c r="F54" s="12">
        <v>108.8</v>
      </c>
      <c r="G54" s="12">
        <v>108.2</v>
      </c>
      <c r="H54" s="12">
        <v>2.8</v>
      </c>
      <c r="I54" s="12">
        <v>-0.9</v>
      </c>
      <c r="J54" s="12">
        <v>-0.4</v>
      </c>
      <c r="K54" s="12">
        <v>9.1</v>
      </c>
      <c r="L54" s="12">
        <v>9</v>
      </c>
      <c r="M54" s="12">
        <v>0.75</v>
      </c>
      <c r="N54" s="12">
        <v>5.14</v>
      </c>
      <c r="O54" s="12">
        <v>3.4</v>
      </c>
      <c r="P54" s="13">
        <f t="shared" si="5"/>
        <v>-6.2</v>
      </c>
      <c r="Q54" s="13">
        <f t="shared" si="6"/>
        <v>-3.8600000000000003</v>
      </c>
      <c r="R54" s="13">
        <f t="shared" si="9"/>
        <v>211.73418628395052</v>
      </c>
      <c r="S54" s="6">
        <f t="shared" si="7"/>
        <v>2022</v>
      </c>
      <c r="T54" s="6" t="str">
        <f t="shared" si="8"/>
        <v>Q2</v>
      </c>
    </row>
    <row r="55" spans="1:20" ht="15.75" customHeight="1" x14ac:dyDescent="0.25">
      <c r="A55" s="8" t="s">
        <v>135</v>
      </c>
      <c r="B55" s="9">
        <v>103.3</v>
      </c>
      <c r="C55" s="9">
        <v>101.7</v>
      </c>
      <c r="D55" s="9">
        <v>104</v>
      </c>
      <c r="E55" s="9">
        <v>101.8</v>
      </c>
      <c r="F55" s="9">
        <v>108.1</v>
      </c>
      <c r="G55" s="9">
        <v>105</v>
      </c>
      <c r="H55" s="9">
        <v>3.9</v>
      </c>
      <c r="I55" s="9">
        <v>3.3</v>
      </c>
      <c r="J55" s="9">
        <v>1.4</v>
      </c>
      <c r="K55" s="9">
        <v>14.5</v>
      </c>
      <c r="L55" s="9">
        <v>9.1</v>
      </c>
      <c r="M55" s="9">
        <v>0.75</v>
      </c>
      <c r="N55" s="9">
        <v>4.33</v>
      </c>
      <c r="O55" s="9">
        <v>2.7</v>
      </c>
      <c r="P55" s="10">
        <f t="shared" si="5"/>
        <v>-5.1999999999999993</v>
      </c>
      <c r="Q55" s="10">
        <f t="shared" si="6"/>
        <v>-4.7699999999999996</v>
      </c>
      <c r="R55" s="10">
        <f t="shared" si="9"/>
        <v>201.63446559820608</v>
      </c>
      <c r="S55" s="5">
        <f t="shared" si="7"/>
        <v>2022</v>
      </c>
      <c r="T55" s="5" t="str">
        <f t="shared" si="8"/>
        <v>Q2</v>
      </c>
    </row>
    <row r="56" spans="1:20" ht="15.75" customHeight="1" x14ac:dyDescent="0.25">
      <c r="A56" s="11" t="s">
        <v>136</v>
      </c>
      <c r="B56" s="12">
        <v>103.1</v>
      </c>
      <c r="C56" s="12">
        <v>104</v>
      </c>
      <c r="D56" s="12">
        <v>103.3</v>
      </c>
      <c r="E56" s="12">
        <v>100.8</v>
      </c>
      <c r="F56" s="12">
        <v>102.7</v>
      </c>
      <c r="G56" s="12">
        <v>100.4</v>
      </c>
      <c r="H56" s="12">
        <v>3.9</v>
      </c>
      <c r="I56" s="12">
        <v>3.4</v>
      </c>
      <c r="J56" s="12">
        <v>3.5</v>
      </c>
      <c r="K56" s="12">
        <v>12.1</v>
      </c>
      <c r="L56" s="12">
        <v>9.4</v>
      </c>
      <c r="M56" s="12">
        <v>1</v>
      </c>
      <c r="N56" s="12">
        <v>6.26</v>
      </c>
      <c r="O56" s="12">
        <v>2.1</v>
      </c>
      <c r="P56" s="13">
        <f t="shared" si="5"/>
        <v>-5.5</v>
      </c>
      <c r="Q56" s="13">
        <f t="shared" si="6"/>
        <v>-3.1400000000000006</v>
      </c>
      <c r="R56" s="13">
        <f t="shared" si="9"/>
        <v>195.30314337842242</v>
      </c>
      <c r="S56" s="6">
        <f t="shared" si="7"/>
        <v>2022</v>
      </c>
      <c r="T56" s="6" t="str">
        <f t="shared" si="8"/>
        <v>Q2</v>
      </c>
    </row>
    <row r="57" spans="1:20" ht="15.75" customHeight="1" x14ac:dyDescent="0.25">
      <c r="A57" s="8" t="s">
        <v>137</v>
      </c>
      <c r="B57" s="9">
        <v>103.6</v>
      </c>
      <c r="C57" s="9">
        <v>105.6</v>
      </c>
      <c r="D57" s="9">
        <v>103.3</v>
      </c>
      <c r="E57" s="9">
        <v>100.8</v>
      </c>
      <c r="F57" s="9">
        <v>102.1</v>
      </c>
      <c r="G57" s="9">
        <v>100.9</v>
      </c>
      <c r="H57" s="9">
        <v>7.6</v>
      </c>
      <c r="I57" s="9">
        <v>7.4</v>
      </c>
      <c r="J57" s="9">
        <v>8.3000000000000007</v>
      </c>
      <c r="K57" s="9">
        <v>15.3</v>
      </c>
      <c r="L57" s="9">
        <v>10.1</v>
      </c>
      <c r="M57" s="9">
        <v>1.25</v>
      </c>
      <c r="N57" s="9">
        <v>5.86</v>
      </c>
      <c r="O57" s="9">
        <v>1.8</v>
      </c>
      <c r="P57" s="10">
        <f t="shared" si="5"/>
        <v>-2.5</v>
      </c>
      <c r="Q57" s="10">
        <f t="shared" si="6"/>
        <v>-4.2399999999999993</v>
      </c>
      <c r="R57" s="10">
        <f t="shared" si="9"/>
        <v>187.0222900991773</v>
      </c>
      <c r="S57" s="5">
        <f t="shared" si="7"/>
        <v>2022</v>
      </c>
      <c r="T57" s="5" t="str">
        <f t="shared" si="8"/>
        <v>Q3</v>
      </c>
    </row>
    <row r="58" spans="1:20" ht="15.75" customHeight="1" x14ac:dyDescent="0.25">
      <c r="A58" s="11" t="s">
        <v>138</v>
      </c>
      <c r="B58" s="12">
        <v>101.6</v>
      </c>
      <c r="C58" s="12">
        <v>104.2</v>
      </c>
      <c r="D58" s="12">
        <v>99.9</v>
      </c>
      <c r="E58" s="12">
        <v>96</v>
      </c>
      <c r="F58" s="12">
        <v>102.1</v>
      </c>
      <c r="G58" s="12">
        <v>99.8</v>
      </c>
      <c r="H58" s="12">
        <v>4.7</v>
      </c>
      <c r="I58" s="12">
        <v>7.5</v>
      </c>
      <c r="J58" s="12">
        <v>4</v>
      </c>
      <c r="K58" s="12">
        <v>6</v>
      </c>
      <c r="L58" s="12">
        <v>9.9</v>
      </c>
      <c r="M58" s="12">
        <v>1.25</v>
      </c>
      <c r="N58" s="12">
        <v>6.18</v>
      </c>
      <c r="O58" s="12">
        <v>1.7</v>
      </c>
      <c r="P58" s="13">
        <f t="shared" si="5"/>
        <v>-5.2</v>
      </c>
      <c r="Q58" s="13">
        <f t="shared" si="6"/>
        <v>-3.7200000000000006</v>
      </c>
      <c r="R58" s="13">
        <f t="shared" si="9"/>
        <v>180.06506090748789</v>
      </c>
      <c r="S58" s="6">
        <f t="shared" si="7"/>
        <v>2022</v>
      </c>
      <c r="T58" s="6" t="str">
        <f t="shared" si="8"/>
        <v>Q3</v>
      </c>
    </row>
    <row r="59" spans="1:20" ht="15.75" customHeight="1" x14ac:dyDescent="0.25">
      <c r="A59" s="8" t="s">
        <v>139</v>
      </c>
      <c r="B59" s="9">
        <v>100.4</v>
      </c>
      <c r="C59" s="9">
        <v>101.9</v>
      </c>
      <c r="D59" s="9">
        <v>100</v>
      </c>
      <c r="E59" s="9">
        <v>97.4</v>
      </c>
      <c r="F59" s="9">
        <v>102.3</v>
      </c>
      <c r="G59" s="9">
        <v>97.8</v>
      </c>
      <c r="H59" s="9">
        <v>3.8</v>
      </c>
      <c r="I59" s="9">
        <v>6.7</v>
      </c>
      <c r="J59" s="9">
        <v>2.1</v>
      </c>
      <c r="K59" s="9">
        <v>6.7</v>
      </c>
      <c r="L59" s="9">
        <v>10.1</v>
      </c>
      <c r="M59" s="9">
        <v>1.75</v>
      </c>
      <c r="N59" s="9">
        <v>5.89</v>
      </c>
      <c r="O59" s="9">
        <v>0.6</v>
      </c>
      <c r="P59" s="10">
        <f t="shared" si="5"/>
        <v>-6.3</v>
      </c>
      <c r="Q59" s="10">
        <f t="shared" si="6"/>
        <v>-4.21</v>
      </c>
      <c r="R59" s="10">
        <f t="shared" si="9"/>
        <v>172.48432184328266</v>
      </c>
      <c r="S59" s="5">
        <f t="shared" si="7"/>
        <v>2022</v>
      </c>
      <c r="T59" s="5" t="str">
        <f t="shared" si="8"/>
        <v>Q3</v>
      </c>
    </row>
    <row r="60" spans="1:20" ht="15.75" customHeight="1" x14ac:dyDescent="0.25">
      <c r="A60" s="11" t="s">
        <v>140</v>
      </c>
      <c r="B60" s="12">
        <v>101.7</v>
      </c>
      <c r="C60" s="12">
        <v>101.9</v>
      </c>
      <c r="D60" s="12">
        <v>102</v>
      </c>
      <c r="E60" s="12">
        <v>100.2</v>
      </c>
      <c r="F60" s="12">
        <v>101.6</v>
      </c>
      <c r="G60" s="12">
        <v>98.6</v>
      </c>
      <c r="H60" s="12">
        <v>5.2</v>
      </c>
      <c r="I60" s="12">
        <v>7.2</v>
      </c>
      <c r="J60" s="12">
        <v>1.5</v>
      </c>
      <c r="K60" s="12">
        <v>6.6</v>
      </c>
      <c r="L60" s="12">
        <v>11.1</v>
      </c>
      <c r="M60" s="12">
        <v>2.25</v>
      </c>
      <c r="N60" s="12">
        <v>6.5</v>
      </c>
      <c r="O60" s="12">
        <v>-0.4</v>
      </c>
      <c r="P60" s="13">
        <f t="shared" si="5"/>
        <v>-5.8999999999999995</v>
      </c>
      <c r="Q60" s="13">
        <f t="shared" si="6"/>
        <v>-4.5999999999999996</v>
      </c>
      <c r="R60" s="13">
        <f t="shared" si="9"/>
        <v>164.55004303849165</v>
      </c>
      <c r="S60" s="6">
        <f t="shared" si="7"/>
        <v>2022</v>
      </c>
      <c r="T60" s="6" t="str">
        <f t="shared" si="8"/>
        <v>Q4</v>
      </c>
    </row>
    <row r="61" spans="1:20" ht="15.75" customHeight="1" x14ac:dyDescent="0.25">
      <c r="A61" s="8" t="s">
        <v>141</v>
      </c>
      <c r="B61" s="9">
        <v>100.7</v>
      </c>
      <c r="C61" s="9">
        <v>102.1</v>
      </c>
      <c r="D61" s="9">
        <v>101.1</v>
      </c>
      <c r="E61" s="9">
        <v>101.3</v>
      </c>
      <c r="F61" s="9">
        <v>103</v>
      </c>
      <c r="G61" s="9">
        <v>94.7</v>
      </c>
      <c r="H61" s="9">
        <v>3.7</v>
      </c>
      <c r="I61" s="9">
        <v>8.4</v>
      </c>
      <c r="J61" s="9">
        <v>4.5999999999999996</v>
      </c>
      <c r="K61" s="9">
        <v>7.1</v>
      </c>
      <c r="L61" s="9">
        <v>10.7</v>
      </c>
      <c r="M61" s="9">
        <v>2.25</v>
      </c>
      <c r="N61" s="9">
        <v>7.29</v>
      </c>
      <c r="O61" s="9">
        <v>-0.6</v>
      </c>
      <c r="P61" s="10">
        <f t="shared" si="5"/>
        <v>-6.9999999999999991</v>
      </c>
      <c r="Q61" s="10">
        <f t="shared" si="6"/>
        <v>-3.4099999999999993</v>
      </c>
      <c r="R61" s="10">
        <f t="shared" si="9"/>
        <v>158.93888657087908</v>
      </c>
      <c r="S61" s="5">
        <f t="shared" si="7"/>
        <v>2022</v>
      </c>
      <c r="T61" s="5" t="str">
        <f t="shared" si="8"/>
        <v>Q4</v>
      </c>
    </row>
    <row r="62" spans="1:20" ht="15.75" customHeight="1" x14ac:dyDescent="0.25">
      <c r="A62" s="11" t="s">
        <v>142</v>
      </c>
      <c r="B62" s="12">
        <v>100.9</v>
      </c>
      <c r="C62" s="12">
        <v>101.1</v>
      </c>
      <c r="D62" s="12">
        <v>101.3</v>
      </c>
      <c r="E62" s="12">
        <v>103.6</v>
      </c>
      <c r="F62" s="12">
        <v>101.8</v>
      </c>
      <c r="G62" s="12">
        <v>96</v>
      </c>
      <c r="H62" s="12">
        <v>2.9</v>
      </c>
      <c r="I62" s="12">
        <v>6.3</v>
      </c>
      <c r="J62" s="12">
        <v>6.5</v>
      </c>
      <c r="K62" s="12">
        <v>11.7</v>
      </c>
      <c r="L62" s="12">
        <v>10.5</v>
      </c>
      <c r="M62" s="12">
        <v>3</v>
      </c>
      <c r="N62" s="12">
        <v>4.88</v>
      </c>
      <c r="O62" s="12">
        <v>0.3</v>
      </c>
      <c r="P62" s="13">
        <f t="shared" si="5"/>
        <v>-7.6</v>
      </c>
      <c r="Q62" s="13">
        <f t="shared" si="6"/>
        <v>-5.62</v>
      </c>
      <c r="R62" s="13">
        <f t="shared" si="9"/>
        <v>150.00652114559566</v>
      </c>
      <c r="S62" s="6">
        <f t="shared" si="7"/>
        <v>2022</v>
      </c>
      <c r="T62" s="6" t="str">
        <f t="shared" si="8"/>
        <v>Q4</v>
      </c>
    </row>
    <row r="63" spans="1:20" ht="15.75" customHeight="1" x14ac:dyDescent="0.25">
      <c r="A63" s="8" t="s">
        <v>143</v>
      </c>
      <c r="B63" s="9">
        <v>101</v>
      </c>
      <c r="C63" s="9">
        <v>100.7</v>
      </c>
      <c r="D63" s="9">
        <v>100.6</v>
      </c>
      <c r="E63" s="9">
        <v>102.9</v>
      </c>
      <c r="F63" s="9">
        <v>101.2</v>
      </c>
      <c r="G63" s="9">
        <v>98.8</v>
      </c>
      <c r="H63" s="9">
        <v>3.4</v>
      </c>
      <c r="I63" s="9">
        <v>9.1999999999999993</v>
      </c>
      <c r="J63" s="9">
        <v>6.7</v>
      </c>
      <c r="K63" s="9">
        <v>19.5</v>
      </c>
      <c r="L63" s="9">
        <v>10.1</v>
      </c>
      <c r="M63" s="9">
        <v>3.5</v>
      </c>
      <c r="N63" s="9">
        <v>6.23</v>
      </c>
      <c r="O63" s="9">
        <v>0.3</v>
      </c>
      <c r="P63" s="10">
        <f t="shared" si="5"/>
        <v>-6.6999999999999993</v>
      </c>
      <c r="Q63" s="10">
        <f t="shared" si="6"/>
        <v>-3.8699999999999992</v>
      </c>
      <c r="R63" s="10">
        <f t="shared" si="9"/>
        <v>144.20126877726111</v>
      </c>
      <c r="S63" s="5">
        <f t="shared" si="7"/>
        <v>2023</v>
      </c>
      <c r="T63" s="5" t="str">
        <f t="shared" si="8"/>
        <v>Q1</v>
      </c>
    </row>
    <row r="64" spans="1:20" ht="15.75" customHeight="1" x14ac:dyDescent="0.25">
      <c r="A64" s="11" t="s">
        <v>144</v>
      </c>
      <c r="B64" s="12">
        <v>101.3</v>
      </c>
      <c r="C64" s="12">
        <v>101.2</v>
      </c>
      <c r="D64" s="12">
        <v>102</v>
      </c>
      <c r="E64" s="12">
        <v>103.4</v>
      </c>
      <c r="F64" s="12">
        <v>99.4</v>
      </c>
      <c r="G64" s="12">
        <v>99.6</v>
      </c>
      <c r="H64" s="12">
        <v>4.9000000000000004</v>
      </c>
      <c r="I64" s="12">
        <v>11.2</v>
      </c>
      <c r="J64" s="12">
        <v>6.5</v>
      </c>
      <c r="K64" s="12">
        <v>12.5</v>
      </c>
      <c r="L64" s="12">
        <v>10.4</v>
      </c>
      <c r="M64" s="12">
        <v>3.5</v>
      </c>
      <c r="N64" s="12">
        <v>6.74</v>
      </c>
      <c r="O64" s="12">
        <v>-0.2</v>
      </c>
      <c r="P64" s="13">
        <f t="shared" si="5"/>
        <v>-5.5</v>
      </c>
      <c r="Q64" s="13">
        <f t="shared" si="6"/>
        <v>-3.66</v>
      </c>
      <c r="R64" s="13">
        <f t="shared" si="9"/>
        <v>138.92350234001336</v>
      </c>
      <c r="S64" s="6">
        <f t="shared" si="7"/>
        <v>2023</v>
      </c>
      <c r="T64" s="6" t="str">
        <f t="shared" si="8"/>
        <v>Q1</v>
      </c>
    </row>
    <row r="65" spans="1:20" ht="15.75" customHeight="1" x14ac:dyDescent="0.25">
      <c r="A65" s="8" t="s">
        <v>145</v>
      </c>
      <c r="B65" s="9">
        <v>100</v>
      </c>
      <c r="C65" s="9">
        <v>100.5</v>
      </c>
      <c r="D65" s="9">
        <v>99.7</v>
      </c>
      <c r="E65" s="9">
        <v>100.7</v>
      </c>
      <c r="F65" s="9">
        <v>100.1</v>
      </c>
      <c r="G65" s="9">
        <v>99</v>
      </c>
      <c r="H65" s="9">
        <v>2.8</v>
      </c>
      <c r="I65" s="9">
        <v>10.4</v>
      </c>
      <c r="J65" s="9">
        <v>3.1</v>
      </c>
      <c r="K65" s="9">
        <v>9.1999999999999993</v>
      </c>
      <c r="L65" s="9">
        <v>10.1</v>
      </c>
      <c r="M65" s="9">
        <v>4</v>
      </c>
      <c r="N65" s="9">
        <v>5.91</v>
      </c>
      <c r="O65" s="9">
        <v>0.3</v>
      </c>
      <c r="P65" s="10">
        <f t="shared" si="5"/>
        <v>-7.3</v>
      </c>
      <c r="Q65" s="10">
        <f t="shared" si="6"/>
        <v>-4.1899999999999995</v>
      </c>
      <c r="R65" s="10">
        <f t="shared" si="9"/>
        <v>133.1026075919668</v>
      </c>
      <c r="S65" s="5">
        <f t="shared" si="7"/>
        <v>2023</v>
      </c>
      <c r="T65" s="5" t="str">
        <f t="shared" si="8"/>
        <v>Q1</v>
      </c>
    </row>
    <row r="66" spans="1:20" ht="15.75" customHeight="1" x14ac:dyDescent="0.25">
      <c r="A66" s="11" t="s">
        <v>146</v>
      </c>
      <c r="B66" s="12">
        <v>101.3</v>
      </c>
      <c r="C66" s="12">
        <v>101</v>
      </c>
      <c r="D66" s="12">
        <v>102.4</v>
      </c>
      <c r="E66" s="12">
        <v>103</v>
      </c>
      <c r="F66" s="12">
        <v>102.4</v>
      </c>
      <c r="G66" s="12">
        <v>100</v>
      </c>
      <c r="H66" s="12">
        <v>4.7</v>
      </c>
      <c r="I66" s="12">
        <v>12</v>
      </c>
      <c r="J66" s="12">
        <v>7.6</v>
      </c>
      <c r="K66" s="12">
        <v>11</v>
      </c>
      <c r="L66" s="12">
        <v>8.6999999999999993</v>
      </c>
      <c r="M66" s="12">
        <v>4.25</v>
      </c>
      <c r="N66" s="12">
        <v>7.67</v>
      </c>
      <c r="O66" s="12">
        <v>0.2</v>
      </c>
      <c r="P66" s="13">
        <f t="shared" si="5"/>
        <v>-3.9999999999999991</v>
      </c>
      <c r="Q66" s="13">
        <f t="shared" si="6"/>
        <v>-1.0299999999999994</v>
      </c>
      <c r="R66" s="13">
        <f t="shared" si="9"/>
        <v>131.73165073376956</v>
      </c>
      <c r="S66" s="6">
        <f t="shared" si="7"/>
        <v>2023</v>
      </c>
      <c r="T66" s="6" t="str">
        <f t="shared" si="8"/>
        <v>Q2</v>
      </c>
    </row>
    <row r="67" spans="1:20" ht="15.75" customHeight="1" x14ac:dyDescent="0.25">
      <c r="A67" s="8" t="s">
        <v>147</v>
      </c>
      <c r="B67" s="9">
        <v>100.4</v>
      </c>
      <c r="C67" s="9">
        <v>100.5</v>
      </c>
      <c r="D67" s="9">
        <v>101.1</v>
      </c>
      <c r="E67" s="9">
        <v>101.1</v>
      </c>
      <c r="F67" s="9">
        <v>101.8</v>
      </c>
      <c r="G67" s="9">
        <v>100.4</v>
      </c>
      <c r="H67" s="9">
        <v>4.3</v>
      </c>
      <c r="I67" s="9">
        <v>12.9</v>
      </c>
      <c r="J67" s="9">
        <v>9.6</v>
      </c>
      <c r="K67" s="9">
        <v>7</v>
      </c>
      <c r="L67" s="9">
        <v>8.6999999999999993</v>
      </c>
      <c r="M67" s="9">
        <v>4.25</v>
      </c>
      <c r="N67" s="9">
        <v>7.98</v>
      </c>
      <c r="O67" s="9">
        <v>0.3</v>
      </c>
      <c r="P67" s="10">
        <f t="shared" ref="P67:P102" si="10">IF(AND(H67&lt;&gt;"",L67&lt;&gt;""),H67-L67,"")</f>
        <v>-4.3999999999999995</v>
      </c>
      <c r="Q67" s="10">
        <f t="shared" ref="Q67:Q102" si="11">IF(AND(N67&lt;&gt;"",L67&lt;&gt;""),N67-L67,"")</f>
        <v>-0.71999999999999886</v>
      </c>
      <c r="R67" s="10">
        <f t="shared" si="9"/>
        <v>130.7831828484864</v>
      </c>
      <c r="S67" s="5">
        <f t="shared" ref="S67:S102" si="12">IF(A67&lt;&gt;"",LEFT(A67,4)*1,"")</f>
        <v>2023</v>
      </c>
      <c r="T67" s="5" t="str">
        <f t="shared" ref="T67:T102" si="13">IF(A67&lt;&gt;"","Q"&amp;INT((MID(A67,6,2)*1-1)/3)+1,"")</f>
        <v>Q2</v>
      </c>
    </row>
    <row r="68" spans="1:20" ht="15.75" customHeight="1" x14ac:dyDescent="0.25">
      <c r="A68" s="11" t="s">
        <v>148</v>
      </c>
      <c r="B68" s="12">
        <v>101.1</v>
      </c>
      <c r="C68" s="12">
        <v>101</v>
      </c>
      <c r="D68" s="12">
        <v>102.1</v>
      </c>
      <c r="E68" s="12">
        <v>102.8</v>
      </c>
      <c r="F68" s="12">
        <v>101.5</v>
      </c>
      <c r="G68" s="12">
        <v>100.1</v>
      </c>
      <c r="H68" s="12">
        <v>3.3</v>
      </c>
      <c r="I68" s="12">
        <v>10.1</v>
      </c>
      <c r="J68" s="12">
        <v>10.8</v>
      </c>
      <c r="K68" s="12">
        <v>9.6999999999999993</v>
      </c>
      <c r="L68" s="12">
        <v>7.9</v>
      </c>
      <c r="M68" s="12">
        <v>4.5</v>
      </c>
      <c r="N68" s="12">
        <v>9.14</v>
      </c>
      <c r="O68" s="12">
        <v>0.5</v>
      </c>
      <c r="P68" s="13">
        <f t="shared" si="10"/>
        <v>-4.6000000000000005</v>
      </c>
      <c r="Q68" s="13">
        <f t="shared" si="11"/>
        <v>1.2400000000000002</v>
      </c>
      <c r="R68" s="13">
        <f t="shared" ref="R68:R99" si="14">IF(R67&lt;&gt;"",R67*(1+IFERROR(Q68/100,0)),"")</f>
        <v>132.40489431580764</v>
      </c>
      <c r="S68" s="6">
        <f t="shared" si="12"/>
        <v>2023</v>
      </c>
      <c r="T68" s="6" t="str">
        <f t="shared" si="13"/>
        <v>Q2</v>
      </c>
    </row>
    <row r="69" spans="1:20" ht="15.75" customHeight="1" x14ac:dyDescent="0.25">
      <c r="A69" s="8" t="s">
        <v>149</v>
      </c>
      <c r="B69" s="9">
        <v>99.9</v>
      </c>
      <c r="C69" s="9">
        <v>99.1</v>
      </c>
      <c r="D69" s="9">
        <v>100.5</v>
      </c>
      <c r="E69" s="9">
        <v>99.5</v>
      </c>
      <c r="F69" s="9">
        <v>101.2</v>
      </c>
      <c r="G69" s="9">
        <v>101.5</v>
      </c>
      <c r="H69" s="9">
        <v>0.7</v>
      </c>
      <c r="I69" s="9">
        <v>5</v>
      </c>
      <c r="J69" s="9">
        <v>4.5</v>
      </c>
      <c r="K69" s="9">
        <v>5.3</v>
      </c>
      <c r="L69" s="9">
        <v>6.8</v>
      </c>
      <c r="M69" s="9">
        <v>5</v>
      </c>
      <c r="N69" s="9">
        <v>8.15</v>
      </c>
      <c r="O69" s="9">
        <v>0.9</v>
      </c>
      <c r="P69" s="10">
        <f t="shared" si="10"/>
        <v>-6.1</v>
      </c>
      <c r="Q69" s="10">
        <f t="shared" si="11"/>
        <v>1.3500000000000005</v>
      </c>
      <c r="R69" s="10">
        <f t="shared" si="14"/>
        <v>134.19236038907104</v>
      </c>
      <c r="S69" s="5">
        <f t="shared" si="12"/>
        <v>2023</v>
      </c>
      <c r="T69" s="5" t="str">
        <f t="shared" si="13"/>
        <v>Q3</v>
      </c>
    </row>
    <row r="70" spans="1:20" ht="15.75" customHeight="1" x14ac:dyDescent="0.25">
      <c r="A70" s="11" t="s">
        <v>150</v>
      </c>
      <c r="B70" s="12">
        <v>99.7</v>
      </c>
      <c r="C70" s="12">
        <v>99.6</v>
      </c>
      <c r="D70" s="12">
        <v>99.4</v>
      </c>
      <c r="E70" s="12">
        <v>98.3</v>
      </c>
      <c r="F70" s="12">
        <v>101</v>
      </c>
      <c r="G70" s="12">
        <v>101.4</v>
      </c>
      <c r="H70" s="12">
        <v>3.6</v>
      </c>
      <c r="I70" s="12">
        <v>6.7</v>
      </c>
      <c r="J70" s="12">
        <v>7.2</v>
      </c>
      <c r="K70" s="12">
        <v>9.6</v>
      </c>
      <c r="L70" s="12">
        <v>6.7</v>
      </c>
      <c r="M70" s="12">
        <v>5</v>
      </c>
      <c r="N70" s="12">
        <v>7.22</v>
      </c>
      <c r="O70" s="12">
        <v>0.6</v>
      </c>
      <c r="P70" s="13">
        <f t="shared" si="10"/>
        <v>-3.1</v>
      </c>
      <c r="Q70" s="13">
        <f t="shared" si="11"/>
        <v>0.51999999999999957</v>
      </c>
      <c r="R70" s="13">
        <f t="shared" si="14"/>
        <v>134.89016066309424</v>
      </c>
      <c r="S70" s="6">
        <f t="shared" si="12"/>
        <v>2023</v>
      </c>
      <c r="T70" s="6" t="str">
        <f t="shared" si="13"/>
        <v>Q3</v>
      </c>
    </row>
    <row r="71" spans="1:20" ht="15.75" customHeight="1" x14ac:dyDescent="0.25">
      <c r="A71" s="8" t="s">
        <v>151</v>
      </c>
      <c r="B71" s="9">
        <v>98.7</v>
      </c>
      <c r="C71" s="9">
        <v>100.1</v>
      </c>
      <c r="D71" s="9">
        <v>97</v>
      </c>
      <c r="E71" s="9">
        <v>94.9</v>
      </c>
      <c r="F71" s="9">
        <v>98.7</v>
      </c>
      <c r="G71" s="9">
        <v>98.5</v>
      </c>
      <c r="H71" s="9">
        <v>3.8</v>
      </c>
      <c r="I71" s="9">
        <v>8.6</v>
      </c>
      <c r="J71" s="9">
        <v>4.8</v>
      </c>
      <c r="K71" s="9">
        <v>4.0999999999999996</v>
      </c>
      <c r="L71" s="9">
        <v>6.7</v>
      </c>
      <c r="M71" s="9">
        <v>5.25</v>
      </c>
      <c r="N71" s="9">
        <v>8.16</v>
      </c>
      <c r="O71" s="9">
        <v>0.4</v>
      </c>
      <c r="P71" s="10">
        <f t="shared" si="10"/>
        <v>-2.9000000000000004</v>
      </c>
      <c r="Q71" s="10">
        <f t="shared" si="11"/>
        <v>1.46</v>
      </c>
      <c r="R71" s="10">
        <f t="shared" si="14"/>
        <v>136.8595570087754</v>
      </c>
      <c r="S71" s="5">
        <f t="shared" si="12"/>
        <v>2023</v>
      </c>
      <c r="T71" s="5" t="str">
        <f t="shared" si="13"/>
        <v>Q3</v>
      </c>
    </row>
    <row r="72" spans="1:20" ht="15.75" customHeight="1" x14ac:dyDescent="0.25">
      <c r="A72" s="11" t="s">
        <v>152</v>
      </c>
      <c r="B72" s="12">
        <v>99.3</v>
      </c>
      <c r="C72" s="12">
        <v>100.6</v>
      </c>
      <c r="D72" s="12">
        <v>97.9</v>
      </c>
      <c r="E72" s="12">
        <v>98.2</v>
      </c>
      <c r="F72" s="12">
        <v>97.1</v>
      </c>
      <c r="G72" s="12">
        <v>100.3</v>
      </c>
      <c r="H72" s="12">
        <v>2.4</v>
      </c>
      <c r="I72" s="12">
        <v>7.7</v>
      </c>
      <c r="J72" s="12">
        <v>5.2</v>
      </c>
      <c r="K72" s="12">
        <v>4</v>
      </c>
      <c r="L72" s="12">
        <v>4.5999999999999996</v>
      </c>
      <c r="M72" s="12">
        <v>5.25</v>
      </c>
      <c r="N72" s="12">
        <v>5.94</v>
      </c>
      <c r="O72" s="12">
        <v>0.2</v>
      </c>
      <c r="P72" s="13">
        <f t="shared" si="10"/>
        <v>-2.1999999999999997</v>
      </c>
      <c r="Q72" s="13">
        <f t="shared" si="11"/>
        <v>1.3400000000000007</v>
      </c>
      <c r="R72" s="13">
        <f t="shared" si="14"/>
        <v>138.69347507269299</v>
      </c>
      <c r="S72" s="6">
        <f t="shared" si="12"/>
        <v>2023</v>
      </c>
      <c r="T72" s="6" t="str">
        <f t="shared" si="13"/>
        <v>Q4</v>
      </c>
    </row>
    <row r="73" spans="1:20" ht="15.75" customHeight="1" x14ac:dyDescent="0.25">
      <c r="A73" s="8" t="s">
        <v>153</v>
      </c>
      <c r="B73" s="9">
        <v>100.8</v>
      </c>
      <c r="C73" s="9">
        <v>100.9</v>
      </c>
      <c r="D73" s="9">
        <v>100.5</v>
      </c>
      <c r="E73" s="9">
        <v>99.9</v>
      </c>
      <c r="F73" s="9">
        <v>98.7</v>
      </c>
      <c r="G73" s="9">
        <v>101.6</v>
      </c>
      <c r="H73" s="9">
        <v>3.9</v>
      </c>
      <c r="I73" s="9">
        <v>6.8</v>
      </c>
      <c r="J73" s="9">
        <v>5.2</v>
      </c>
      <c r="K73" s="9">
        <v>4</v>
      </c>
      <c r="L73" s="9">
        <v>3.9</v>
      </c>
      <c r="M73" s="9">
        <v>5.25</v>
      </c>
      <c r="N73" s="9">
        <v>5.8</v>
      </c>
      <c r="O73" s="9">
        <v>0.3</v>
      </c>
      <c r="P73" s="10">
        <f t="shared" si="10"/>
        <v>0</v>
      </c>
      <c r="Q73" s="10">
        <f t="shared" si="11"/>
        <v>1.9</v>
      </c>
      <c r="R73" s="10">
        <f t="shared" si="14"/>
        <v>141.32865109907414</v>
      </c>
      <c r="S73" s="5">
        <f t="shared" si="12"/>
        <v>2023</v>
      </c>
      <c r="T73" s="5" t="str">
        <f t="shared" si="13"/>
        <v>Q4</v>
      </c>
    </row>
    <row r="74" spans="1:20" ht="15.75" customHeight="1" x14ac:dyDescent="0.25">
      <c r="A74" s="11" t="s">
        <v>154</v>
      </c>
      <c r="B74" s="12">
        <v>97.3</v>
      </c>
      <c r="C74" s="12">
        <v>95.5</v>
      </c>
      <c r="D74" s="12">
        <v>97.5</v>
      </c>
      <c r="E74" s="12">
        <v>96.5</v>
      </c>
      <c r="F74" s="12">
        <v>97.4</v>
      </c>
      <c r="G74" s="12">
        <v>99.5</v>
      </c>
      <c r="H74" s="12">
        <v>-0.2</v>
      </c>
      <c r="I74" s="12">
        <v>1.6</v>
      </c>
      <c r="J74" s="12">
        <v>-1.3</v>
      </c>
      <c r="K74" s="12">
        <v>-1.7</v>
      </c>
      <c r="L74" s="12">
        <v>4</v>
      </c>
      <c r="M74" s="12">
        <v>5.25</v>
      </c>
      <c r="N74" s="12">
        <v>5.74</v>
      </c>
      <c r="O74" s="12">
        <v>0.2</v>
      </c>
      <c r="P74" s="13">
        <f t="shared" si="10"/>
        <v>-4.2</v>
      </c>
      <c r="Q74" s="13">
        <f t="shared" si="11"/>
        <v>1.7400000000000002</v>
      </c>
      <c r="R74" s="13">
        <f t="shared" si="14"/>
        <v>143.78776962819805</v>
      </c>
      <c r="S74" s="6">
        <f t="shared" si="12"/>
        <v>2023</v>
      </c>
      <c r="T74" s="6" t="str">
        <f t="shared" si="13"/>
        <v>Q4</v>
      </c>
    </row>
    <row r="75" spans="1:20" ht="15.75" customHeight="1" x14ac:dyDescent="0.25">
      <c r="A75" s="8" t="s">
        <v>155</v>
      </c>
      <c r="B75" s="9">
        <v>100.4</v>
      </c>
      <c r="C75" s="9">
        <v>100</v>
      </c>
      <c r="D75" s="9">
        <v>99.6</v>
      </c>
      <c r="E75" s="9">
        <v>97</v>
      </c>
      <c r="F75" s="9">
        <v>96.5</v>
      </c>
      <c r="G75" s="9">
        <v>99.8</v>
      </c>
      <c r="H75" s="9">
        <v>2.7</v>
      </c>
      <c r="I75" s="9">
        <v>5.9</v>
      </c>
      <c r="J75" s="9">
        <v>0.7</v>
      </c>
      <c r="K75" s="9">
        <v>-1.2</v>
      </c>
      <c r="L75" s="9">
        <v>4</v>
      </c>
      <c r="M75" s="9">
        <v>5.25</v>
      </c>
      <c r="N75" s="9">
        <v>5.69</v>
      </c>
      <c r="O75" s="9">
        <v>0.2</v>
      </c>
      <c r="P75" s="10">
        <f t="shared" si="10"/>
        <v>-1.2999999999999998</v>
      </c>
      <c r="Q75" s="10">
        <f t="shared" si="11"/>
        <v>1.6900000000000004</v>
      </c>
      <c r="R75" s="10">
        <f t="shared" si="14"/>
        <v>146.2177829349146</v>
      </c>
      <c r="S75" s="5">
        <f t="shared" si="12"/>
        <v>2024</v>
      </c>
      <c r="T75" s="5" t="str">
        <f t="shared" si="13"/>
        <v>Q1</v>
      </c>
    </row>
    <row r="76" spans="1:20" ht="15.75" customHeight="1" x14ac:dyDescent="0.25">
      <c r="A76" s="11" t="s">
        <v>156</v>
      </c>
      <c r="B76" s="12">
        <v>100.4</v>
      </c>
      <c r="C76" s="12">
        <v>99.9</v>
      </c>
      <c r="D76" s="12">
        <v>100.3</v>
      </c>
      <c r="E76" s="12">
        <v>96.4</v>
      </c>
      <c r="F76" s="12">
        <v>96.4</v>
      </c>
      <c r="G76" s="12">
        <v>100.7</v>
      </c>
      <c r="H76" s="12">
        <v>1.6</v>
      </c>
      <c r="I76" s="12">
        <v>3.8</v>
      </c>
      <c r="J76" s="12">
        <v>1.6</v>
      </c>
      <c r="K76" s="12">
        <v>-2.8</v>
      </c>
      <c r="L76" s="12">
        <v>3.4</v>
      </c>
      <c r="M76" s="12">
        <v>5.25</v>
      </c>
      <c r="N76" s="12">
        <v>5.63</v>
      </c>
      <c r="O76" s="12">
        <v>0.3</v>
      </c>
      <c r="P76" s="13">
        <f t="shared" si="10"/>
        <v>-1.7999999999999998</v>
      </c>
      <c r="Q76" s="13">
        <f t="shared" si="11"/>
        <v>2.23</v>
      </c>
      <c r="R76" s="13">
        <f t="shared" si="14"/>
        <v>149.47843949436319</v>
      </c>
      <c r="S76" s="6">
        <f t="shared" si="12"/>
        <v>2024</v>
      </c>
      <c r="T76" s="6" t="str">
        <f t="shared" si="13"/>
        <v>Q1</v>
      </c>
    </row>
    <row r="77" spans="1:20" ht="15.75" customHeight="1" x14ac:dyDescent="0.25">
      <c r="A77" s="8" t="s">
        <v>157</v>
      </c>
      <c r="B77" s="9">
        <v>99.9</v>
      </c>
      <c r="C77" s="9">
        <v>98.7</v>
      </c>
      <c r="D77" s="9">
        <v>100.2</v>
      </c>
      <c r="E77" s="9">
        <v>96.1</v>
      </c>
      <c r="F77" s="9">
        <v>97</v>
      </c>
      <c r="G77" s="9">
        <v>99.6</v>
      </c>
      <c r="H77" s="9">
        <v>2.1</v>
      </c>
      <c r="I77" s="9">
        <v>2.4</v>
      </c>
      <c r="J77" s="9">
        <v>-2.5</v>
      </c>
      <c r="K77" s="9">
        <v>-1.4</v>
      </c>
      <c r="L77" s="9">
        <v>3.2</v>
      </c>
      <c r="M77" s="9">
        <v>5.25</v>
      </c>
      <c r="N77" s="9">
        <v>6.25</v>
      </c>
      <c r="O77" s="9">
        <v>0.4</v>
      </c>
      <c r="P77" s="10">
        <f t="shared" si="10"/>
        <v>-1.1000000000000001</v>
      </c>
      <c r="Q77" s="10">
        <f t="shared" si="11"/>
        <v>3.05</v>
      </c>
      <c r="R77" s="10">
        <f t="shared" si="14"/>
        <v>154.03753189894127</v>
      </c>
      <c r="S77" s="5">
        <f t="shared" si="12"/>
        <v>2024</v>
      </c>
      <c r="T77" s="5" t="str">
        <f t="shared" si="13"/>
        <v>Q1</v>
      </c>
    </row>
    <row r="78" spans="1:20" ht="15.75" customHeight="1" x14ac:dyDescent="0.25">
      <c r="A78" s="11" t="s">
        <v>158</v>
      </c>
      <c r="B78" s="12">
        <v>98.7</v>
      </c>
      <c r="C78" s="12">
        <v>97.9</v>
      </c>
      <c r="D78" s="12">
        <v>98.2</v>
      </c>
      <c r="E78" s="12">
        <v>93.3</v>
      </c>
      <c r="F78" s="12">
        <v>94.5</v>
      </c>
      <c r="G78" s="12">
        <v>100.1</v>
      </c>
      <c r="H78" s="12">
        <v>-1</v>
      </c>
      <c r="I78" s="12">
        <v>-0.1</v>
      </c>
      <c r="J78" s="12">
        <v>-4.9000000000000004</v>
      </c>
      <c r="K78" s="12">
        <v>-6.8</v>
      </c>
      <c r="L78" s="12">
        <v>2.2999999999999998</v>
      </c>
      <c r="M78" s="12">
        <v>5.25</v>
      </c>
      <c r="N78" s="12">
        <v>5.55</v>
      </c>
      <c r="O78" s="12">
        <v>0.6</v>
      </c>
      <c r="P78" s="13">
        <f t="shared" si="10"/>
        <v>-3.3</v>
      </c>
      <c r="Q78" s="13">
        <f t="shared" si="11"/>
        <v>3.25</v>
      </c>
      <c r="R78" s="13">
        <f t="shared" si="14"/>
        <v>159.04375168565684</v>
      </c>
      <c r="S78" s="6">
        <f t="shared" si="12"/>
        <v>2024</v>
      </c>
      <c r="T78" s="6" t="str">
        <f t="shared" si="13"/>
        <v>Q2</v>
      </c>
    </row>
    <row r="79" spans="1:20" ht="15.75" customHeight="1" x14ac:dyDescent="0.25">
      <c r="A79" s="8" t="s">
        <v>159</v>
      </c>
      <c r="B79" s="9">
        <v>101.4</v>
      </c>
      <c r="C79" s="9">
        <v>98.9</v>
      </c>
      <c r="D79" s="9">
        <v>101.9</v>
      </c>
      <c r="E79" s="9">
        <v>98.3</v>
      </c>
      <c r="F79" s="9">
        <v>99.2</v>
      </c>
      <c r="G79" s="9">
        <v>107</v>
      </c>
      <c r="H79" s="9">
        <v>2.2000000000000002</v>
      </c>
      <c r="I79" s="9">
        <v>0.7</v>
      </c>
      <c r="J79" s="9">
        <v>-2.7</v>
      </c>
      <c r="K79" s="9">
        <v>-0.7</v>
      </c>
      <c r="L79" s="9">
        <v>2</v>
      </c>
      <c r="M79" s="9">
        <v>5.25</v>
      </c>
      <c r="N79" s="9">
        <v>5.46</v>
      </c>
      <c r="O79" s="9">
        <v>1.2</v>
      </c>
      <c r="P79" s="10">
        <f t="shared" si="10"/>
        <v>0.20000000000000018</v>
      </c>
      <c r="Q79" s="10">
        <f t="shared" si="11"/>
        <v>3.46</v>
      </c>
      <c r="R79" s="10">
        <f t="shared" si="14"/>
        <v>164.54666549398056</v>
      </c>
      <c r="S79" s="5">
        <f t="shared" si="12"/>
        <v>2024</v>
      </c>
      <c r="T79" s="5" t="str">
        <f t="shared" si="13"/>
        <v>Q2</v>
      </c>
    </row>
    <row r="80" spans="1:20" ht="15.75" customHeight="1" x14ac:dyDescent="0.25">
      <c r="A80" s="11" t="s">
        <v>160</v>
      </c>
      <c r="B80" s="12">
        <v>99.7</v>
      </c>
      <c r="C80" s="12">
        <v>97.4</v>
      </c>
      <c r="D80" s="12">
        <v>99.6</v>
      </c>
      <c r="E80" s="12">
        <v>96.7</v>
      </c>
      <c r="F80" s="12">
        <v>95.7</v>
      </c>
      <c r="G80" s="12">
        <v>104.5</v>
      </c>
      <c r="H80" s="12">
        <v>-0.3</v>
      </c>
      <c r="I80" s="12">
        <v>-1.6</v>
      </c>
      <c r="J80" s="12">
        <v>-8.6</v>
      </c>
      <c r="K80" s="12">
        <v>-4.8</v>
      </c>
      <c r="L80" s="12">
        <v>2</v>
      </c>
      <c r="M80" s="12">
        <v>5.25</v>
      </c>
      <c r="N80" s="12">
        <v>3.28</v>
      </c>
      <c r="O80" s="12">
        <v>0.4</v>
      </c>
      <c r="P80" s="13">
        <f t="shared" si="10"/>
        <v>-2.2999999999999998</v>
      </c>
      <c r="Q80" s="13">
        <f t="shared" si="11"/>
        <v>1.2799999999999998</v>
      </c>
      <c r="R80" s="13">
        <f t="shared" si="14"/>
        <v>166.65286281230348</v>
      </c>
      <c r="S80" s="6">
        <f t="shared" si="12"/>
        <v>2024</v>
      </c>
      <c r="T80" s="6" t="str">
        <f t="shared" si="13"/>
        <v>Q2</v>
      </c>
    </row>
    <row r="81" spans="1:20" ht="15.75" customHeight="1" x14ac:dyDescent="0.25">
      <c r="A81" s="8" t="s">
        <v>161</v>
      </c>
      <c r="B81" s="9">
        <v>100.5</v>
      </c>
      <c r="C81" s="9">
        <v>98.3</v>
      </c>
      <c r="D81" s="9">
        <v>100.7</v>
      </c>
      <c r="E81" s="9">
        <v>96.2</v>
      </c>
      <c r="F81" s="9">
        <v>94.8</v>
      </c>
      <c r="G81" s="9">
        <v>105</v>
      </c>
      <c r="H81" s="9">
        <v>1.6</v>
      </c>
      <c r="I81" s="9">
        <v>1.3</v>
      </c>
      <c r="J81" s="9">
        <v>0.3</v>
      </c>
      <c r="K81" s="9">
        <v>-2</v>
      </c>
      <c r="L81" s="9">
        <v>2.2000000000000002</v>
      </c>
      <c r="M81" s="9">
        <v>5.25</v>
      </c>
      <c r="N81" s="9">
        <v>4.3499999999999996</v>
      </c>
      <c r="O81" s="9">
        <v>0.7</v>
      </c>
      <c r="P81" s="10">
        <f t="shared" si="10"/>
        <v>-0.60000000000000009</v>
      </c>
      <c r="Q81" s="10">
        <f t="shared" si="11"/>
        <v>2.1499999999999995</v>
      </c>
      <c r="R81" s="10">
        <f t="shared" si="14"/>
        <v>170.23589936276801</v>
      </c>
      <c r="S81" s="5">
        <f t="shared" si="12"/>
        <v>2024</v>
      </c>
      <c r="T81" s="5" t="str">
        <f t="shared" si="13"/>
        <v>Q3</v>
      </c>
    </row>
    <row r="82" spans="1:20" ht="15.75" customHeight="1" x14ac:dyDescent="0.25">
      <c r="A82" s="11" t="s">
        <v>162</v>
      </c>
      <c r="B82" s="12">
        <v>100.8</v>
      </c>
      <c r="C82" s="12">
        <v>99.4</v>
      </c>
      <c r="D82" s="12">
        <v>101</v>
      </c>
      <c r="E82" s="12">
        <v>97.8</v>
      </c>
      <c r="F82" s="12">
        <v>96.7</v>
      </c>
      <c r="G82" s="12">
        <v>102.5</v>
      </c>
      <c r="H82" s="12">
        <v>1.1000000000000001</v>
      </c>
      <c r="I82" s="12">
        <v>1.2</v>
      </c>
      <c r="J82" s="12">
        <v>0.4</v>
      </c>
      <c r="K82" s="12">
        <v>0.5</v>
      </c>
      <c r="L82" s="12">
        <v>2.2000000000000002</v>
      </c>
      <c r="M82" s="12">
        <v>5</v>
      </c>
      <c r="N82" s="12">
        <v>4.82</v>
      </c>
      <c r="O82" s="12">
        <v>1.1000000000000001</v>
      </c>
      <c r="P82" s="13">
        <f t="shared" si="10"/>
        <v>-1.1000000000000001</v>
      </c>
      <c r="Q82" s="13">
        <f t="shared" si="11"/>
        <v>2.62</v>
      </c>
      <c r="R82" s="13">
        <f t="shared" si="14"/>
        <v>174.69607992607254</v>
      </c>
      <c r="S82" s="6">
        <f t="shared" si="12"/>
        <v>2024</v>
      </c>
      <c r="T82" s="6" t="str">
        <f t="shared" si="13"/>
        <v>Q3</v>
      </c>
    </row>
    <row r="83" spans="1:20" ht="15.75" customHeight="1" x14ac:dyDescent="0.25">
      <c r="A83" s="8" t="s">
        <v>163</v>
      </c>
      <c r="B83" s="9">
        <v>100.7</v>
      </c>
      <c r="C83" s="9">
        <v>98.3</v>
      </c>
      <c r="D83" s="9">
        <v>102.1</v>
      </c>
      <c r="E83" s="9">
        <v>97.2</v>
      </c>
      <c r="F83" s="9">
        <v>96.8</v>
      </c>
      <c r="G83" s="9">
        <v>102.7</v>
      </c>
      <c r="H83" s="9">
        <v>1.2</v>
      </c>
      <c r="I83" s="9">
        <v>-0.6</v>
      </c>
      <c r="J83" s="9">
        <v>2.4</v>
      </c>
      <c r="K83" s="9">
        <v>2.8</v>
      </c>
      <c r="L83" s="9">
        <v>1.7</v>
      </c>
      <c r="M83" s="9">
        <v>5</v>
      </c>
      <c r="N83" s="9">
        <v>5.0999999999999996</v>
      </c>
      <c r="O83" s="9">
        <v>1.1000000000000001</v>
      </c>
      <c r="P83" s="10">
        <f t="shared" si="10"/>
        <v>-0.5</v>
      </c>
      <c r="Q83" s="10">
        <f t="shared" si="11"/>
        <v>3.3999999999999995</v>
      </c>
      <c r="R83" s="10">
        <f t="shared" si="14"/>
        <v>180.635746643559</v>
      </c>
      <c r="S83" s="5">
        <f t="shared" si="12"/>
        <v>2024</v>
      </c>
      <c r="T83" s="5" t="str">
        <f t="shared" si="13"/>
        <v>Q3</v>
      </c>
    </row>
    <row r="84" spans="1:20" ht="15.75" customHeight="1" x14ac:dyDescent="0.25">
      <c r="A84" s="11" t="s">
        <v>164</v>
      </c>
      <c r="B84" s="12">
        <v>100.1</v>
      </c>
      <c r="C84" s="12">
        <v>97.5</v>
      </c>
      <c r="D84" s="12">
        <v>101.1</v>
      </c>
      <c r="E84" s="12">
        <v>95.5</v>
      </c>
      <c r="F84" s="12">
        <v>96.5</v>
      </c>
      <c r="G84" s="12">
        <v>102.2</v>
      </c>
      <c r="H84" s="12">
        <v>-0.3</v>
      </c>
      <c r="I84" s="12">
        <v>-1.7</v>
      </c>
      <c r="J84" s="12">
        <v>1.5</v>
      </c>
      <c r="K84" s="12">
        <v>-2.2000000000000002</v>
      </c>
      <c r="L84" s="12">
        <v>2.2999999999999998</v>
      </c>
      <c r="M84" s="12">
        <v>5</v>
      </c>
      <c r="N84" s="12">
        <v>6.05</v>
      </c>
      <c r="O84" s="12">
        <v>1.6</v>
      </c>
      <c r="P84" s="13">
        <f t="shared" si="10"/>
        <v>-2.5999999999999996</v>
      </c>
      <c r="Q84" s="13">
        <f t="shared" si="11"/>
        <v>3.75</v>
      </c>
      <c r="R84" s="13">
        <f t="shared" si="14"/>
        <v>187.40958714269249</v>
      </c>
      <c r="S84" s="6">
        <f t="shared" si="12"/>
        <v>2024</v>
      </c>
      <c r="T84" s="6" t="str">
        <f t="shared" si="13"/>
        <v>Q4</v>
      </c>
    </row>
    <row r="85" spans="1:20" ht="15.75" customHeight="1" x14ac:dyDescent="0.25">
      <c r="A85" s="8" t="s">
        <v>165</v>
      </c>
      <c r="B85" s="9">
        <v>100.1</v>
      </c>
      <c r="C85" s="9">
        <v>97.9</v>
      </c>
      <c r="D85" s="9">
        <v>101</v>
      </c>
      <c r="E85" s="9">
        <v>91.4</v>
      </c>
      <c r="F85" s="9">
        <v>96.6</v>
      </c>
      <c r="G85" s="9">
        <v>102.5</v>
      </c>
      <c r="H85" s="9">
        <v>-1.1000000000000001</v>
      </c>
      <c r="I85" s="9">
        <v>-1.3</v>
      </c>
      <c r="J85" s="9">
        <v>0.2</v>
      </c>
      <c r="K85" s="9">
        <v>-7.2</v>
      </c>
      <c r="L85" s="9">
        <v>2.6</v>
      </c>
      <c r="M85" s="9">
        <v>5</v>
      </c>
      <c r="N85" s="9">
        <v>5.56</v>
      </c>
      <c r="O85" s="9">
        <v>1.4</v>
      </c>
      <c r="P85" s="10">
        <f t="shared" si="10"/>
        <v>-3.7</v>
      </c>
      <c r="Q85" s="10">
        <f t="shared" si="11"/>
        <v>2.9599999999999995</v>
      </c>
      <c r="R85" s="10">
        <f t="shared" si="14"/>
        <v>192.95691092211621</v>
      </c>
      <c r="S85" s="5">
        <f t="shared" si="12"/>
        <v>2024</v>
      </c>
      <c r="T85" s="5" t="str">
        <f t="shared" si="13"/>
        <v>Q4</v>
      </c>
    </row>
    <row r="86" spans="1:20" ht="15.75" customHeight="1" x14ac:dyDescent="0.25">
      <c r="A86" s="11" t="s">
        <v>166</v>
      </c>
      <c r="B86" s="12">
        <v>100.1</v>
      </c>
      <c r="C86" s="12">
        <v>97.8</v>
      </c>
      <c r="D86" s="12">
        <v>102.2</v>
      </c>
      <c r="E86" s="12">
        <v>95.5</v>
      </c>
      <c r="F86" s="12">
        <v>97.6</v>
      </c>
      <c r="G86" s="12">
        <v>99.9</v>
      </c>
      <c r="H86" s="12">
        <v>3.4</v>
      </c>
      <c r="I86" s="12">
        <v>4.5</v>
      </c>
      <c r="J86" s="12">
        <v>5.7</v>
      </c>
      <c r="K86" s="12">
        <v>-0.3</v>
      </c>
      <c r="L86" s="12">
        <v>2.5</v>
      </c>
      <c r="M86" s="12">
        <v>4.75</v>
      </c>
      <c r="N86" s="12">
        <v>6.23</v>
      </c>
      <c r="O86" s="12">
        <v>2.1</v>
      </c>
      <c r="P86" s="13">
        <f t="shared" si="10"/>
        <v>0.89999999999999991</v>
      </c>
      <c r="Q86" s="13">
        <f t="shared" si="11"/>
        <v>3.7300000000000004</v>
      </c>
      <c r="R86" s="13">
        <f t="shared" si="14"/>
        <v>200.15420369951116</v>
      </c>
      <c r="S86" s="6">
        <f t="shared" si="12"/>
        <v>2024</v>
      </c>
      <c r="T86" s="6" t="str">
        <f t="shared" si="13"/>
        <v>Q4</v>
      </c>
    </row>
    <row r="87" spans="1:20" ht="15.75" customHeight="1" x14ac:dyDescent="0.25">
      <c r="A87" s="8" t="s">
        <v>167</v>
      </c>
      <c r="B87" s="9">
        <v>99</v>
      </c>
      <c r="C87" s="9">
        <v>99</v>
      </c>
      <c r="D87" s="9">
        <v>99.3</v>
      </c>
      <c r="E87" s="9">
        <v>93.4</v>
      </c>
      <c r="F87" s="9">
        <v>96.3</v>
      </c>
      <c r="G87" s="9">
        <v>95.2</v>
      </c>
      <c r="H87" s="9">
        <v>-0.1</v>
      </c>
      <c r="I87" s="9">
        <v>1.8</v>
      </c>
      <c r="J87" s="9">
        <v>4.4000000000000004</v>
      </c>
      <c r="K87" s="9">
        <v>-2.4</v>
      </c>
      <c r="L87" s="9">
        <v>3</v>
      </c>
      <c r="M87" s="9">
        <v>4.75</v>
      </c>
      <c r="N87" s="9">
        <v>5.13</v>
      </c>
      <c r="O87" s="9">
        <v>1.6</v>
      </c>
      <c r="P87" s="10">
        <f t="shared" si="10"/>
        <v>-3.1</v>
      </c>
      <c r="Q87" s="10">
        <f t="shared" si="11"/>
        <v>2.13</v>
      </c>
      <c r="R87" s="10">
        <f t="shared" si="14"/>
        <v>204.41748823831077</v>
      </c>
      <c r="S87" s="5">
        <f t="shared" si="12"/>
        <v>2025</v>
      </c>
      <c r="T87" s="5" t="str">
        <f t="shared" si="13"/>
        <v>Q1</v>
      </c>
    </row>
    <row r="88" spans="1:20" ht="15.75" customHeight="1" x14ac:dyDescent="0.25">
      <c r="A88" s="11" t="s">
        <v>168</v>
      </c>
      <c r="B88" s="12">
        <v>101.1</v>
      </c>
      <c r="C88" s="12">
        <v>98.2</v>
      </c>
      <c r="D88" s="12">
        <v>103.4</v>
      </c>
      <c r="E88" s="12">
        <v>97.4</v>
      </c>
      <c r="F88" s="12">
        <v>103.2</v>
      </c>
      <c r="G88" s="12">
        <v>101.2</v>
      </c>
      <c r="H88" s="12">
        <v>1.7</v>
      </c>
      <c r="I88" s="12">
        <v>1.4</v>
      </c>
      <c r="J88" s="12">
        <v>2</v>
      </c>
      <c r="K88" s="12">
        <v>0.8</v>
      </c>
      <c r="L88" s="12">
        <v>2.8</v>
      </c>
      <c r="M88" s="12">
        <v>4.75</v>
      </c>
      <c r="N88" s="12">
        <v>5.69</v>
      </c>
      <c r="O88" s="12">
        <v>1.8</v>
      </c>
      <c r="P88" s="13">
        <f t="shared" si="10"/>
        <v>-1.0999999999999999</v>
      </c>
      <c r="Q88" s="13">
        <f t="shared" si="11"/>
        <v>2.8900000000000006</v>
      </c>
      <c r="R88" s="13">
        <f t="shared" si="14"/>
        <v>210.32515364839793</v>
      </c>
      <c r="S88" s="6">
        <f t="shared" si="12"/>
        <v>2025</v>
      </c>
      <c r="T88" s="6" t="str">
        <f t="shared" si="13"/>
        <v>Q1</v>
      </c>
    </row>
    <row r="89" spans="1:20" ht="15.75" customHeight="1" x14ac:dyDescent="0.25">
      <c r="A89" s="8" t="s">
        <v>169</v>
      </c>
      <c r="B89" s="9">
        <v>101.9</v>
      </c>
      <c r="C89" s="9">
        <v>99.1</v>
      </c>
      <c r="D89" s="9">
        <v>104.2</v>
      </c>
      <c r="E89" s="9">
        <v>98.5</v>
      </c>
      <c r="F89" s="9">
        <v>100</v>
      </c>
      <c r="G89" s="9">
        <v>103.8</v>
      </c>
      <c r="H89" s="9">
        <v>2.6</v>
      </c>
      <c r="I89" s="9">
        <v>3.2</v>
      </c>
      <c r="J89" s="9">
        <v>6.2</v>
      </c>
      <c r="K89" s="9">
        <v>3.5</v>
      </c>
      <c r="L89" s="9">
        <v>2.6</v>
      </c>
      <c r="M89" s="9">
        <v>4.5</v>
      </c>
      <c r="N89" s="9">
        <v>5.49</v>
      </c>
      <c r="O89" s="9">
        <v>1.6</v>
      </c>
      <c r="P89" s="10">
        <f t="shared" si="10"/>
        <v>0</v>
      </c>
      <c r="Q89" s="10">
        <f t="shared" si="11"/>
        <v>2.89</v>
      </c>
      <c r="R89" s="10">
        <f t="shared" si="14"/>
        <v>216.40355058883662</v>
      </c>
      <c r="S89" s="5">
        <f t="shared" si="12"/>
        <v>2025</v>
      </c>
      <c r="T89" s="5" t="str">
        <f t="shared" si="13"/>
        <v>Q1</v>
      </c>
    </row>
    <row r="90" spans="1:20" ht="15.75" customHeight="1" x14ac:dyDescent="0.25">
      <c r="A90" s="11" t="s">
        <v>170</v>
      </c>
      <c r="B90" s="12">
        <v>102</v>
      </c>
      <c r="C90" s="12">
        <v>99.3</v>
      </c>
      <c r="D90" s="12">
        <v>103.1</v>
      </c>
      <c r="E90" s="12">
        <v>98.3</v>
      </c>
      <c r="F90" s="12">
        <v>100</v>
      </c>
      <c r="G90" s="12">
        <v>106.5</v>
      </c>
      <c r="H90" s="12">
        <v>3.4</v>
      </c>
      <c r="I90" s="12">
        <v>4.5999999999999996</v>
      </c>
      <c r="J90" s="12">
        <v>8.1999999999999993</v>
      </c>
      <c r="K90" s="12">
        <v>5.3</v>
      </c>
      <c r="L90" s="12">
        <v>3.5</v>
      </c>
      <c r="M90" s="12">
        <v>4.5</v>
      </c>
      <c r="N90" s="12">
        <v>4.59</v>
      </c>
      <c r="O90" s="12">
        <v>1.3</v>
      </c>
      <c r="P90" s="13">
        <f t="shared" si="10"/>
        <v>-0.10000000000000009</v>
      </c>
      <c r="Q90" s="13">
        <f t="shared" si="11"/>
        <v>1.0899999999999999</v>
      </c>
      <c r="R90" s="13">
        <f t="shared" si="14"/>
        <v>218.76234929025492</v>
      </c>
      <c r="S90" s="6">
        <f t="shared" si="12"/>
        <v>2025</v>
      </c>
      <c r="T90" s="6" t="str">
        <f t="shared" si="13"/>
        <v>Q2</v>
      </c>
    </row>
    <row r="91" spans="1:20" ht="15.75" customHeight="1" x14ac:dyDescent="0.25">
      <c r="A91" s="8" t="s">
        <v>171</v>
      </c>
      <c r="B91" s="9">
        <v>100.6</v>
      </c>
      <c r="C91" s="9">
        <v>97.7</v>
      </c>
      <c r="D91" s="9">
        <v>101</v>
      </c>
      <c r="E91" s="9">
        <v>94</v>
      </c>
      <c r="F91" s="9">
        <v>97.5</v>
      </c>
      <c r="G91" s="9">
        <v>106.4</v>
      </c>
      <c r="H91" s="9">
        <v>-0.6</v>
      </c>
      <c r="I91" s="9">
        <v>2.1</v>
      </c>
      <c r="J91" s="9">
        <v>2.9</v>
      </c>
      <c r="K91" s="9">
        <v>-4.3</v>
      </c>
      <c r="L91" s="9">
        <v>3.4</v>
      </c>
      <c r="M91" s="9">
        <v>4.5</v>
      </c>
      <c r="N91" s="9">
        <v>4.58</v>
      </c>
      <c r="O91" s="9">
        <v>0.9</v>
      </c>
      <c r="P91" s="10">
        <f t="shared" si="10"/>
        <v>-4</v>
      </c>
      <c r="Q91" s="10">
        <f t="shared" si="11"/>
        <v>1.1800000000000002</v>
      </c>
      <c r="R91" s="10">
        <f t="shared" si="14"/>
        <v>221.34374501187995</v>
      </c>
      <c r="S91" s="5">
        <f t="shared" si="12"/>
        <v>2025</v>
      </c>
      <c r="T91" s="5" t="str">
        <f t="shared" si="13"/>
        <v>Q2</v>
      </c>
    </row>
    <row r="92" spans="1:20" ht="15.75" customHeight="1" x14ac:dyDescent="0.25">
      <c r="A92" s="11" t="s">
        <v>172</v>
      </c>
      <c r="B92" s="12">
        <v>100.9</v>
      </c>
      <c r="C92" s="12">
        <v>98.6</v>
      </c>
      <c r="D92" s="12">
        <v>101.5</v>
      </c>
      <c r="E92" s="12">
        <v>96.1</v>
      </c>
      <c r="F92" s="12">
        <v>98.5</v>
      </c>
      <c r="G92" s="12">
        <v>106.7</v>
      </c>
      <c r="H92" s="12">
        <v>2</v>
      </c>
      <c r="I92" s="12">
        <v>4.8</v>
      </c>
      <c r="J92" s="12">
        <v>9</v>
      </c>
      <c r="K92" s="12">
        <v>0.3</v>
      </c>
      <c r="L92" s="12">
        <v>3.6</v>
      </c>
      <c r="M92" s="12">
        <v>4.25</v>
      </c>
      <c r="N92" s="12">
        <v>4.79</v>
      </c>
      <c r="O92" s="12">
        <v>1.5</v>
      </c>
      <c r="P92" s="13">
        <f t="shared" si="10"/>
        <v>-1.6</v>
      </c>
      <c r="Q92" s="13">
        <f t="shared" si="11"/>
        <v>1.19</v>
      </c>
      <c r="R92" s="13">
        <f t="shared" si="14"/>
        <v>223.97773557752132</v>
      </c>
      <c r="S92" s="6">
        <f t="shared" si="12"/>
        <v>2025</v>
      </c>
      <c r="T92" s="6" t="str">
        <f t="shared" si="13"/>
        <v>Q2</v>
      </c>
    </row>
    <row r="93" spans="1:20" ht="15.75" customHeight="1" x14ac:dyDescent="0.25">
      <c r="A93" s="8" t="s">
        <v>173</v>
      </c>
      <c r="B93" s="9">
        <v>102.3</v>
      </c>
      <c r="C93" s="9">
        <v>100.9</v>
      </c>
      <c r="D93" s="9">
        <v>102</v>
      </c>
      <c r="E93" s="9">
        <v>99.2</v>
      </c>
      <c r="F93" s="9">
        <v>99.1</v>
      </c>
      <c r="G93" s="9">
        <v>108.6</v>
      </c>
      <c r="H93" s="9">
        <v>2.8</v>
      </c>
      <c r="I93" s="9">
        <v>6.1</v>
      </c>
      <c r="J93" s="9">
        <v>0.3</v>
      </c>
      <c r="K93" s="9">
        <v>3.7</v>
      </c>
      <c r="L93" s="9">
        <v>3.8</v>
      </c>
      <c r="M93" s="9">
        <v>4.25</v>
      </c>
      <c r="N93" s="9">
        <v>5.0199999999999996</v>
      </c>
      <c r="O93" s="9">
        <v>1.6</v>
      </c>
      <c r="P93" s="10">
        <f t="shared" si="10"/>
        <v>-1</v>
      </c>
      <c r="Q93" s="10">
        <f t="shared" si="11"/>
        <v>1.2199999999999998</v>
      </c>
      <c r="R93" s="10">
        <f t="shared" si="14"/>
        <v>226.71026395156707</v>
      </c>
      <c r="S93" s="5">
        <f t="shared" si="12"/>
        <v>2025</v>
      </c>
      <c r="T93" s="5" t="str">
        <f t="shared" si="13"/>
        <v>Q3</v>
      </c>
    </row>
    <row r="94" spans="1:20" ht="15.75" customHeight="1" x14ac:dyDescent="0.25">
      <c r="A94" s="11" t="s">
        <v>174</v>
      </c>
      <c r="B94" s="12">
        <v>101.7</v>
      </c>
      <c r="C94" s="12">
        <v>99.3</v>
      </c>
      <c r="D94" s="12">
        <v>103.1</v>
      </c>
      <c r="E94" s="12">
        <v>99.4</v>
      </c>
      <c r="F94" s="12">
        <v>99.4</v>
      </c>
      <c r="G94" s="12">
        <v>110.1</v>
      </c>
      <c r="H94" s="12">
        <v>2.2999999999999998</v>
      </c>
      <c r="I94" s="12">
        <v>3.5</v>
      </c>
      <c r="J94" s="12">
        <v>4.5</v>
      </c>
      <c r="K94" s="12">
        <v>2.4</v>
      </c>
      <c r="L94" s="12">
        <v>3.8</v>
      </c>
      <c r="M94" s="12">
        <v>4.25</v>
      </c>
      <c r="N94" s="12">
        <v>5.27</v>
      </c>
      <c r="O94" s="12">
        <v>1</v>
      </c>
      <c r="P94" s="13">
        <f t="shared" si="10"/>
        <v>-1.5</v>
      </c>
      <c r="Q94" s="13">
        <f t="shared" si="11"/>
        <v>1.4699999999999998</v>
      </c>
      <c r="R94" s="13">
        <f t="shared" si="14"/>
        <v>230.04290483165508</v>
      </c>
      <c r="S94" s="6">
        <f t="shared" si="12"/>
        <v>2025</v>
      </c>
      <c r="T94" s="6" t="str">
        <f t="shared" si="13"/>
        <v>Q3</v>
      </c>
    </row>
    <row r="95" spans="1:20" ht="15.75" customHeight="1" x14ac:dyDescent="0.25">
      <c r="A95" s="8" t="s">
        <v>175</v>
      </c>
      <c r="B95" s="9">
        <v>102.8</v>
      </c>
      <c r="C95" s="9">
        <v>99.7</v>
      </c>
      <c r="D95" s="9">
        <v>104.6</v>
      </c>
      <c r="E95" s="9">
        <v>102.9</v>
      </c>
      <c r="F95" s="9">
        <v>99.8</v>
      </c>
      <c r="G95" s="9">
        <v>111.3</v>
      </c>
      <c r="H95" s="9">
        <v>3.7</v>
      </c>
      <c r="I95" s="9">
        <v>5.0999999999999996</v>
      </c>
      <c r="J95" s="9">
        <v>4.2</v>
      </c>
      <c r="K95" s="9">
        <v>6.9</v>
      </c>
      <c r="L95" s="9">
        <v>3.8</v>
      </c>
      <c r="M95" s="9">
        <v>4</v>
      </c>
      <c r="N95" s="9">
        <v>4.33</v>
      </c>
      <c r="O95" s="9">
        <v>1.1000000000000001</v>
      </c>
      <c r="P95" s="10">
        <f t="shared" si="10"/>
        <v>-9.9999999999999645E-2</v>
      </c>
      <c r="Q95" s="10">
        <f t="shared" si="11"/>
        <v>0.53000000000000025</v>
      </c>
      <c r="R95" s="10">
        <f t="shared" si="14"/>
        <v>231.26213222726287</v>
      </c>
      <c r="S95" s="5">
        <f t="shared" si="12"/>
        <v>2025</v>
      </c>
      <c r="T95" s="5" t="str">
        <f t="shared" si="13"/>
        <v>Q3</v>
      </c>
    </row>
    <row r="96" spans="1:20" ht="15.75" customHeight="1" x14ac:dyDescent="0.25">
      <c r="A96" s="11" t="s">
        <v>176</v>
      </c>
      <c r="B96" s="12">
        <v>102.1</v>
      </c>
      <c r="C96" s="12">
        <v>99.1</v>
      </c>
      <c r="D96" s="12">
        <v>104.6</v>
      </c>
      <c r="E96" s="12">
        <v>100.4</v>
      </c>
      <c r="F96" s="12">
        <v>102.4</v>
      </c>
      <c r="G96" s="12">
        <v>108.9</v>
      </c>
      <c r="H96" s="12">
        <v>4</v>
      </c>
      <c r="I96" s="12">
        <v>5.5</v>
      </c>
      <c r="J96" s="12">
        <v>1.8</v>
      </c>
      <c r="K96" s="12">
        <v>6.1</v>
      </c>
      <c r="L96" s="12">
        <v>3.6</v>
      </c>
      <c r="M96" s="12">
        <v>4</v>
      </c>
      <c r="N96" s="12">
        <v>4.8600000000000003</v>
      </c>
      <c r="O96" s="12">
        <v>1</v>
      </c>
      <c r="P96" s="13">
        <f t="shared" si="10"/>
        <v>0.39999999999999991</v>
      </c>
      <c r="Q96" s="13">
        <f t="shared" si="11"/>
        <v>1.2600000000000002</v>
      </c>
      <c r="R96" s="13">
        <f t="shared" si="14"/>
        <v>234.17603509332636</v>
      </c>
      <c r="S96" s="6">
        <f t="shared" si="12"/>
        <v>2025</v>
      </c>
      <c r="T96" s="6" t="str">
        <f t="shared" si="13"/>
        <v>Q4</v>
      </c>
    </row>
    <row r="97" spans="1:20" ht="15.75" customHeight="1" x14ac:dyDescent="0.25">
      <c r="A97" s="8" t="s">
        <v>177</v>
      </c>
      <c r="B97" s="9">
        <v>101.7</v>
      </c>
      <c r="C97" s="9">
        <v>98.8</v>
      </c>
      <c r="D97" s="9">
        <v>104.8</v>
      </c>
      <c r="E97" s="9">
        <v>101.9</v>
      </c>
      <c r="F97" s="9">
        <v>103.2</v>
      </c>
      <c r="G97" s="9">
        <v>104.9</v>
      </c>
      <c r="H97" s="9">
        <v>3.4</v>
      </c>
      <c r="I97" s="9">
        <v>4.7</v>
      </c>
      <c r="J97" s="9">
        <v>4.2</v>
      </c>
      <c r="K97" s="9">
        <v>11.6</v>
      </c>
      <c r="L97" s="9">
        <v>3.2</v>
      </c>
      <c r="M97" s="9">
        <v>4</v>
      </c>
      <c r="N97" s="9">
        <v>4.5999999999999996</v>
      </c>
      <c r="O97" s="9">
        <v>1.1000000000000001</v>
      </c>
      <c r="P97" s="10">
        <f t="shared" si="10"/>
        <v>0.19999999999999973</v>
      </c>
      <c r="Q97" s="10">
        <f t="shared" si="11"/>
        <v>1.3999999999999995</v>
      </c>
      <c r="R97" s="10">
        <f t="shared" si="14"/>
        <v>237.45449958463294</v>
      </c>
      <c r="S97" s="5">
        <f t="shared" si="12"/>
        <v>2025</v>
      </c>
      <c r="T97" s="5" t="str">
        <f t="shared" si="13"/>
        <v>Q4</v>
      </c>
    </row>
    <row r="98" spans="1:20" ht="15.75" customHeight="1" x14ac:dyDescent="0.25">
      <c r="A98" s="11" t="s">
        <v>178</v>
      </c>
      <c r="B98" s="12">
        <v>101.7</v>
      </c>
      <c r="C98" s="12">
        <v>98.7</v>
      </c>
      <c r="D98" s="12">
        <v>103.3</v>
      </c>
      <c r="E98" s="12">
        <v>99.8</v>
      </c>
      <c r="F98" s="12">
        <v>99.4</v>
      </c>
      <c r="G98" s="12">
        <v>109.9</v>
      </c>
      <c r="H98" s="12">
        <v>3.3</v>
      </c>
      <c r="I98" s="12">
        <v>4.5999999999999996</v>
      </c>
      <c r="J98" s="12">
        <v>1</v>
      </c>
      <c r="K98" s="12">
        <v>5.4</v>
      </c>
      <c r="L98" s="12">
        <v>3.4</v>
      </c>
      <c r="M98" s="12">
        <v>4</v>
      </c>
      <c r="N98" s="12">
        <v>3.07</v>
      </c>
      <c r="O98" s="12">
        <v>0.9</v>
      </c>
      <c r="P98" s="13">
        <f t="shared" si="10"/>
        <v>-0.10000000000000009</v>
      </c>
      <c r="Q98" s="13">
        <f t="shared" si="11"/>
        <v>-0.33000000000000007</v>
      </c>
      <c r="R98" s="13">
        <f t="shared" si="14"/>
        <v>236.67089973600366</v>
      </c>
      <c r="S98" s="6">
        <f t="shared" si="12"/>
        <v>2025</v>
      </c>
      <c r="T98" s="6" t="str">
        <f t="shared" si="13"/>
        <v>Q4</v>
      </c>
    </row>
    <row r="99" spans="1:20" ht="15.75" customHeight="1" x14ac:dyDescent="0.25">
      <c r="A99" s="8" t="s">
        <v>179</v>
      </c>
      <c r="B99" s="9">
        <v>103.6</v>
      </c>
      <c r="C99" s="9">
        <v>99.7</v>
      </c>
      <c r="D99" s="9">
        <v>106.3</v>
      </c>
      <c r="E99" s="9">
        <v>101.1</v>
      </c>
      <c r="F99" s="9">
        <v>103.4</v>
      </c>
      <c r="G99" s="9">
        <v>111.9</v>
      </c>
      <c r="H99" s="9">
        <v>5.5</v>
      </c>
      <c r="I99" s="9">
        <v>3.7</v>
      </c>
      <c r="J99" s="9">
        <v>0.4</v>
      </c>
      <c r="K99" s="9">
        <v>8.6999999999999993</v>
      </c>
      <c r="L99" s="9">
        <v>3</v>
      </c>
      <c r="M99" s="9">
        <v>3.75</v>
      </c>
      <c r="N99" s="9">
        <v>4.6500000000000004</v>
      </c>
      <c r="O99" s="9">
        <v>0.9</v>
      </c>
      <c r="P99" s="10">
        <f t="shared" si="10"/>
        <v>2.5</v>
      </c>
      <c r="Q99" s="10">
        <f t="shared" si="11"/>
        <v>1.6500000000000004</v>
      </c>
      <c r="R99" s="10">
        <f t="shared" si="14"/>
        <v>240.57596958164771</v>
      </c>
      <c r="S99" s="5">
        <f t="shared" si="12"/>
        <v>2026</v>
      </c>
      <c r="T99" s="5" t="str">
        <f t="shared" si="13"/>
        <v>Q1</v>
      </c>
    </row>
    <row r="100" spans="1:20" ht="15.75" customHeight="1" x14ac:dyDescent="0.25">
      <c r="A100" s="11" t="s">
        <v>180</v>
      </c>
      <c r="B100" s="12">
        <v>102.7</v>
      </c>
      <c r="C100" s="12">
        <v>99</v>
      </c>
      <c r="D100" s="12">
        <v>105.5</v>
      </c>
      <c r="E100" s="12">
        <v>100.2</v>
      </c>
      <c r="F100" s="12">
        <v>99.7</v>
      </c>
      <c r="G100" s="12">
        <v>110.5</v>
      </c>
      <c r="H100" s="12">
        <v>2.5</v>
      </c>
      <c r="I100" s="12">
        <v>3.5</v>
      </c>
      <c r="J100" s="12">
        <v>1</v>
      </c>
      <c r="K100" s="12">
        <v>4</v>
      </c>
      <c r="L100" s="12">
        <v>3</v>
      </c>
      <c r="M100" s="12">
        <v>3.75</v>
      </c>
      <c r="N100" s="12">
        <v>3.87</v>
      </c>
      <c r="O100" s="12">
        <v>1</v>
      </c>
      <c r="P100" s="13">
        <f t="shared" si="10"/>
        <v>-0.5</v>
      </c>
      <c r="Q100" s="13">
        <f t="shared" si="11"/>
        <v>0.87000000000000011</v>
      </c>
      <c r="R100" s="13">
        <f t="shared" ref="R100:R102" si="15">IF(R99&lt;&gt;"",R99*(1+IFERROR(Q100/100,0)),"")</f>
        <v>242.66898051700804</v>
      </c>
      <c r="S100" s="6">
        <f t="shared" si="12"/>
        <v>2026</v>
      </c>
      <c r="T100" s="6" t="str">
        <f t="shared" si="13"/>
        <v>Q1</v>
      </c>
    </row>
    <row r="101" spans="1:20" ht="15.75" customHeight="1" x14ac:dyDescent="0.25">
      <c r="A101" s="8" t="s">
        <v>181</v>
      </c>
      <c r="B101" s="9">
        <v>103.4</v>
      </c>
      <c r="C101" s="9">
        <v>98.1</v>
      </c>
      <c r="D101" s="9">
        <v>106.2</v>
      </c>
      <c r="E101" s="9">
        <v>100.7</v>
      </c>
      <c r="F101" s="9">
        <v>101.1</v>
      </c>
      <c r="G101" s="9">
        <v>111.7</v>
      </c>
      <c r="H101" s="9">
        <v>4.0999999999999996</v>
      </c>
      <c r="I101" s="9">
        <v>2.7</v>
      </c>
      <c r="J101" s="9">
        <v>3.3</v>
      </c>
      <c r="K101" s="9">
        <v>2.6</v>
      </c>
      <c r="L101" s="9">
        <v>3.3</v>
      </c>
      <c r="M101" s="9">
        <v>3.75</v>
      </c>
      <c r="N101" s="9">
        <v>3.78</v>
      </c>
      <c r="O101" s="9">
        <v>1.2</v>
      </c>
      <c r="P101" s="10">
        <f t="shared" si="10"/>
        <v>0.79999999999999982</v>
      </c>
      <c r="Q101" s="10">
        <f t="shared" si="11"/>
        <v>0.48</v>
      </c>
      <c r="R101" s="10">
        <f t="shared" si="15"/>
        <v>243.83379162348965</v>
      </c>
      <c r="S101" s="5">
        <f t="shared" si="12"/>
        <v>2026</v>
      </c>
      <c r="T101" s="5" t="str">
        <f t="shared" si="13"/>
        <v>Q1</v>
      </c>
    </row>
    <row r="102" spans="1:20" ht="15.75" customHeight="1" x14ac:dyDescent="0.25">
      <c r="A102" s="11" t="s">
        <v>182</v>
      </c>
      <c r="B102" s="12">
        <v>102</v>
      </c>
      <c r="C102" s="12">
        <v>98.9</v>
      </c>
      <c r="D102" s="12">
        <v>105.1</v>
      </c>
      <c r="E102" s="12">
        <v>98.3</v>
      </c>
      <c r="F102" s="12">
        <v>101</v>
      </c>
      <c r="G102" s="12">
        <v>109.5</v>
      </c>
      <c r="H102" s="12">
        <v>4.5</v>
      </c>
      <c r="I102" s="12">
        <v>3</v>
      </c>
      <c r="J102" s="12">
        <v>1.5</v>
      </c>
      <c r="K102" s="12">
        <v>1.6</v>
      </c>
      <c r="L102" s="12">
        <v>2.8</v>
      </c>
      <c r="M102" s="12">
        <v>3.75</v>
      </c>
      <c r="N102" s="12"/>
      <c r="O102" s="12">
        <v>1.2</v>
      </c>
      <c r="P102" s="13">
        <f t="shared" si="10"/>
        <v>1.7000000000000002</v>
      </c>
      <c r="Q102" s="13" t="str">
        <f t="shared" si="11"/>
        <v/>
      </c>
      <c r="R102" s="13">
        <f t="shared" si="15"/>
        <v>243.83379162348965</v>
      </c>
      <c r="S102" s="6">
        <f t="shared" si="12"/>
        <v>2026</v>
      </c>
      <c r="T102" s="6" t="str">
        <f t="shared" si="13"/>
        <v>Q2</v>
      </c>
    </row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4"/>
  <sheetViews>
    <sheetView showGridLines="0" tabSelected="1" zoomScaleNormal="100" workbookViewId="0">
      <selection activeCell="L20" sqref="L20"/>
    </sheetView>
  </sheetViews>
  <sheetFormatPr defaultColWidth="8.7109375" defaultRowHeight="15" x14ac:dyDescent="0.25"/>
  <cols>
    <col min="1" max="1" width="14" customWidth="1"/>
    <col min="2" max="12" width="13" customWidth="1"/>
  </cols>
  <sheetData>
    <row r="1" spans="1:12" ht="36" customHeight="1" x14ac:dyDescent="0.25">
      <c r="A1" s="88" t="s">
        <v>210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3" spans="1:12" ht="21.75" customHeight="1" x14ac:dyDescent="0.25">
      <c r="A3" s="78" t="s">
        <v>211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2" ht="19.5" customHeight="1" x14ac:dyDescent="0.25">
      <c r="A4" s="7" t="s">
        <v>208</v>
      </c>
      <c r="B4" s="7" t="s">
        <v>212</v>
      </c>
      <c r="C4" s="7" t="s">
        <v>213</v>
      </c>
      <c r="D4" s="7" t="s">
        <v>214</v>
      </c>
      <c r="E4" s="7" t="s">
        <v>215</v>
      </c>
      <c r="F4" s="7" t="s">
        <v>216</v>
      </c>
      <c r="G4" s="7" t="s">
        <v>217</v>
      </c>
      <c r="H4" s="7" t="s">
        <v>13</v>
      </c>
      <c r="I4" s="7" t="s">
        <v>203</v>
      </c>
      <c r="J4" s="7" t="s">
        <v>204</v>
      </c>
      <c r="K4" s="7" t="s">
        <v>218</v>
      </c>
      <c r="L4" s="7" t="s">
        <v>19</v>
      </c>
    </row>
    <row r="5" spans="1:12" ht="15.75" customHeight="1" x14ac:dyDescent="0.25">
      <c r="A5" s="14">
        <v>2018</v>
      </c>
      <c r="B5" s="6">
        <v>100.8</v>
      </c>
      <c r="C5" s="6">
        <v>103.3</v>
      </c>
      <c r="D5" s="6">
        <v>104.1</v>
      </c>
      <c r="E5" s="6">
        <v>100.5</v>
      </c>
      <c r="F5" s="6">
        <v>114.3</v>
      </c>
      <c r="G5" s="6">
        <v>78.3</v>
      </c>
      <c r="H5" s="6">
        <v>2.5</v>
      </c>
      <c r="I5" s="6">
        <v>0.57999999999999996</v>
      </c>
      <c r="J5" s="6">
        <v>2.9</v>
      </c>
      <c r="K5" s="15">
        <v>1.9</v>
      </c>
      <c r="L5" s="6">
        <v>1.5</v>
      </c>
    </row>
    <row r="6" spans="1:12" ht="15.75" customHeight="1" x14ac:dyDescent="0.25">
      <c r="A6" s="16">
        <v>2019</v>
      </c>
      <c r="B6" s="5">
        <v>103.9</v>
      </c>
      <c r="C6" s="5">
        <v>104.6</v>
      </c>
      <c r="D6" s="5">
        <v>105.4</v>
      </c>
      <c r="E6" s="5">
        <v>103</v>
      </c>
      <c r="F6" s="5">
        <v>111</v>
      </c>
      <c r="G6" s="5">
        <v>89.5</v>
      </c>
      <c r="H6" s="5">
        <v>1.8</v>
      </c>
      <c r="I6" s="5">
        <v>0.75</v>
      </c>
      <c r="J6" s="5">
        <v>3.4</v>
      </c>
      <c r="K6" s="15">
        <v>2</v>
      </c>
      <c r="L6" s="5">
        <v>1.2</v>
      </c>
    </row>
    <row r="7" spans="1:12" ht="15.75" customHeight="1" x14ac:dyDescent="0.25">
      <c r="A7" s="14">
        <v>2020</v>
      </c>
      <c r="B7" s="6">
        <v>102.4</v>
      </c>
      <c r="C7" s="6">
        <v>109.5</v>
      </c>
      <c r="D7" s="6">
        <v>92.9</v>
      </c>
      <c r="E7" s="6">
        <v>76.400000000000006</v>
      </c>
      <c r="F7" s="6">
        <v>110.3</v>
      </c>
      <c r="G7" s="6">
        <v>119.8</v>
      </c>
      <c r="H7" s="6">
        <v>0.8</v>
      </c>
      <c r="I7" s="6">
        <v>0.26</v>
      </c>
      <c r="J7" s="6">
        <v>1.8</v>
      </c>
      <c r="K7" s="17">
        <v>-3.3</v>
      </c>
      <c r="L7" s="6">
        <v>-9.3000000000000007</v>
      </c>
    </row>
    <row r="8" spans="1:12" ht="15.75" customHeight="1" x14ac:dyDescent="0.25">
      <c r="A8" s="16">
        <v>2021</v>
      </c>
      <c r="B8" s="5">
        <v>107.5</v>
      </c>
      <c r="C8" s="5">
        <v>109.9</v>
      </c>
      <c r="D8" s="5">
        <v>101.9</v>
      </c>
      <c r="E8" s="5">
        <v>88.3</v>
      </c>
      <c r="F8" s="5">
        <v>117.8</v>
      </c>
      <c r="G8" s="5">
        <v>121.6</v>
      </c>
      <c r="H8" s="5">
        <v>2.6</v>
      </c>
      <c r="I8" s="5">
        <v>0.1</v>
      </c>
      <c r="J8" s="5">
        <v>6</v>
      </c>
      <c r="K8" s="15">
        <v>6.7</v>
      </c>
      <c r="L8" s="5">
        <v>8</v>
      </c>
    </row>
    <row r="9" spans="1:12" ht="15.75" customHeight="1" x14ac:dyDescent="0.25">
      <c r="A9" s="14">
        <v>2022</v>
      </c>
      <c r="B9" s="6">
        <v>103.3</v>
      </c>
      <c r="C9" s="6">
        <v>103.4</v>
      </c>
      <c r="D9" s="6">
        <v>103.1</v>
      </c>
      <c r="E9" s="6">
        <v>99.5</v>
      </c>
      <c r="F9" s="6">
        <v>105.6</v>
      </c>
      <c r="G9" s="6">
        <v>103.3</v>
      </c>
      <c r="H9" s="6">
        <v>9</v>
      </c>
      <c r="I9" s="6">
        <v>1.27</v>
      </c>
      <c r="J9" s="6">
        <v>6.2</v>
      </c>
      <c r="K9" s="17">
        <v>-2.2000000000000002</v>
      </c>
      <c r="L9" s="6">
        <v>3.3</v>
      </c>
    </row>
    <row r="10" spans="1:12" ht="15.75" customHeight="1" x14ac:dyDescent="0.25">
      <c r="A10" s="16">
        <v>2023</v>
      </c>
      <c r="B10" s="5">
        <v>100.1</v>
      </c>
      <c r="C10" s="5">
        <v>100.1</v>
      </c>
      <c r="D10" s="5">
        <v>100.1</v>
      </c>
      <c r="E10" s="5">
        <v>100.1</v>
      </c>
      <c r="F10" s="5">
        <v>100</v>
      </c>
      <c r="G10" s="5">
        <v>100.1</v>
      </c>
      <c r="H10" s="5">
        <v>7.4</v>
      </c>
      <c r="I10" s="5">
        <v>4.58</v>
      </c>
      <c r="J10" s="5">
        <v>7.1</v>
      </c>
      <c r="K10" s="17">
        <v>-4.3</v>
      </c>
      <c r="L10" s="5">
        <v>0.3</v>
      </c>
    </row>
    <row r="11" spans="1:12" ht="15.75" customHeight="1" x14ac:dyDescent="0.25">
      <c r="A11" s="14">
        <v>2024</v>
      </c>
      <c r="B11" s="6">
        <v>100.2</v>
      </c>
      <c r="C11" s="6">
        <v>98.5</v>
      </c>
      <c r="D11" s="6">
        <v>100.7</v>
      </c>
      <c r="E11" s="6">
        <v>96</v>
      </c>
      <c r="F11" s="6">
        <v>96.5</v>
      </c>
      <c r="G11" s="6">
        <v>102.2</v>
      </c>
      <c r="H11" s="6">
        <v>2.5</v>
      </c>
      <c r="I11" s="6">
        <v>5.12</v>
      </c>
      <c r="J11" s="6">
        <v>5.3</v>
      </c>
      <c r="K11" s="17">
        <v>-1.4</v>
      </c>
      <c r="L11" s="6">
        <v>0.9</v>
      </c>
    </row>
    <row r="12" spans="1:12" ht="15.75" customHeight="1" x14ac:dyDescent="0.25">
      <c r="A12" s="16">
        <v>2025</v>
      </c>
      <c r="B12" s="5">
        <v>101.5</v>
      </c>
      <c r="C12" s="5">
        <v>99</v>
      </c>
      <c r="D12" s="5">
        <v>102.9</v>
      </c>
      <c r="E12" s="5">
        <v>98.4</v>
      </c>
      <c r="F12" s="5">
        <v>99.9</v>
      </c>
      <c r="G12" s="5">
        <v>106.1</v>
      </c>
      <c r="H12" s="5">
        <v>3.4</v>
      </c>
      <c r="I12" s="5">
        <v>4.3099999999999996</v>
      </c>
      <c r="J12" s="5">
        <v>4.8</v>
      </c>
      <c r="K12" s="17">
        <v>-1</v>
      </c>
      <c r="L12" s="5">
        <v>1.3</v>
      </c>
    </row>
    <row r="13" spans="1:12" ht="15.75" customHeight="1" x14ac:dyDescent="0.25">
      <c r="A13" s="14">
        <v>2026</v>
      </c>
      <c r="B13" s="6">
        <v>102.9</v>
      </c>
      <c r="C13" s="6">
        <v>98.9</v>
      </c>
      <c r="D13" s="6">
        <v>105.8</v>
      </c>
      <c r="E13" s="6">
        <v>100.1</v>
      </c>
      <c r="F13" s="6">
        <v>101.3</v>
      </c>
      <c r="G13" s="6">
        <v>110.9</v>
      </c>
      <c r="H13" s="6">
        <v>3</v>
      </c>
      <c r="I13" s="6">
        <v>3.75</v>
      </c>
      <c r="J13" s="6">
        <v>4.0999999999999996</v>
      </c>
      <c r="K13" s="15">
        <v>1.1000000000000001</v>
      </c>
      <c r="L13" s="6">
        <v>1.1000000000000001</v>
      </c>
    </row>
    <row r="16" spans="1:12" x14ac:dyDescent="0.25">
      <c r="A16" s="78" t="s">
        <v>219</v>
      </c>
      <c r="B16" s="78"/>
      <c r="C16" s="78"/>
      <c r="D16" s="78"/>
      <c r="E16" s="78"/>
      <c r="F16" s="78"/>
      <c r="G16" s="78"/>
      <c r="H16" s="78"/>
    </row>
    <row r="17" spans="1:9" ht="24" x14ac:dyDescent="0.25">
      <c r="A17" s="7" t="s">
        <v>208</v>
      </c>
      <c r="B17" s="7" t="s">
        <v>220</v>
      </c>
      <c r="C17" s="7" t="s">
        <v>221</v>
      </c>
      <c r="D17" s="7" t="s">
        <v>222</v>
      </c>
      <c r="E17" s="7" t="s">
        <v>223</v>
      </c>
      <c r="F17" s="7" t="s">
        <v>224</v>
      </c>
    </row>
    <row r="18" spans="1:9" x14ac:dyDescent="0.25">
      <c r="A18" s="16">
        <v>2018</v>
      </c>
      <c r="B18" s="5">
        <v>78.3</v>
      </c>
      <c r="C18" s="5">
        <v>100.8</v>
      </c>
      <c r="D18" s="5">
        <v>0.77700000000000002</v>
      </c>
      <c r="E18" s="5"/>
      <c r="F18" s="18" t="s">
        <v>225</v>
      </c>
    </row>
    <row r="19" spans="1:9" x14ac:dyDescent="0.25">
      <c r="A19" s="14">
        <v>2019</v>
      </c>
      <c r="B19" s="6">
        <v>89.5</v>
      </c>
      <c r="C19" s="6">
        <v>103.9</v>
      </c>
      <c r="D19" s="6">
        <v>0.86099999999999999</v>
      </c>
      <c r="E19" s="6">
        <v>8.5000000000000006E-2</v>
      </c>
      <c r="F19" s="15" t="s">
        <v>226</v>
      </c>
    </row>
    <row r="20" spans="1:9" x14ac:dyDescent="0.25">
      <c r="A20" s="16">
        <v>2020</v>
      </c>
      <c r="B20" s="5">
        <v>119.8</v>
      </c>
      <c r="C20" s="5">
        <v>102.4</v>
      </c>
      <c r="D20" s="5">
        <v>1.17</v>
      </c>
      <c r="E20" s="5">
        <v>0.309</v>
      </c>
      <c r="F20" s="15" t="s">
        <v>226</v>
      </c>
    </row>
    <row r="21" spans="1:9" x14ac:dyDescent="0.25">
      <c r="A21" s="14">
        <v>2021</v>
      </c>
      <c r="B21" s="6">
        <v>121.6</v>
      </c>
      <c r="C21" s="6">
        <v>107.5</v>
      </c>
      <c r="D21" s="6">
        <v>1.131</v>
      </c>
      <c r="E21" s="6">
        <v>-3.9E-2</v>
      </c>
      <c r="F21" s="17" t="s">
        <v>227</v>
      </c>
    </row>
    <row r="22" spans="1:9" x14ac:dyDescent="0.25">
      <c r="A22" s="16">
        <v>2022</v>
      </c>
      <c r="B22" s="5">
        <v>103.3</v>
      </c>
      <c r="C22" s="5">
        <v>103.3</v>
      </c>
      <c r="D22" s="5">
        <v>1</v>
      </c>
      <c r="E22" s="5">
        <v>-0.13100000000000001</v>
      </c>
      <c r="F22" s="17" t="s">
        <v>227</v>
      </c>
    </row>
    <row r="23" spans="1:9" x14ac:dyDescent="0.25">
      <c r="A23" s="14">
        <v>2023</v>
      </c>
      <c r="B23" s="6">
        <v>100.1</v>
      </c>
      <c r="C23" s="6">
        <v>100.1</v>
      </c>
      <c r="D23" s="6">
        <v>1</v>
      </c>
      <c r="E23" s="6">
        <v>0</v>
      </c>
      <c r="F23" s="18" t="s">
        <v>225</v>
      </c>
    </row>
    <row r="24" spans="1:9" x14ac:dyDescent="0.25">
      <c r="A24" s="16">
        <v>2024</v>
      </c>
      <c r="B24" s="5">
        <v>102.2</v>
      </c>
      <c r="C24" s="5">
        <v>100.2</v>
      </c>
      <c r="D24" s="5">
        <v>1.02</v>
      </c>
      <c r="E24" s="5">
        <v>0.02</v>
      </c>
      <c r="F24" s="15" t="s">
        <v>226</v>
      </c>
    </row>
    <row r="25" spans="1:9" x14ac:dyDescent="0.25">
      <c r="A25" s="14">
        <v>2025</v>
      </c>
      <c r="B25" s="6">
        <v>106.1</v>
      </c>
      <c r="C25" s="6">
        <v>101.5</v>
      </c>
      <c r="D25" s="6">
        <v>1.046</v>
      </c>
      <c r="E25" s="6">
        <v>2.5999999999999999E-2</v>
      </c>
      <c r="F25" s="15" t="s">
        <v>226</v>
      </c>
    </row>
    <row r="26" spans="1:9" x14ac:dyDescent="0.25">
      <c r="A26" s="16">
        <v>2026</v>
      </c>
      <c r="B26" s="5">
        <v>110.9</v>
      </c>
      <c r="C26" s="5">
        <v>102.9</v>
      </c>
      <c r="D26" s="5">
        <v>1.077</v>
      </c>
      <c r="E26" s="5">
        <v>3.2000000000000001E-2</v>
      </c>
      <c r="F26" s="15" t="s">
        <v>226</v>
      </c>
    </row>
    <row r="29" spans="1:9" ht="21.75" customHeight="1" x14ac:dyDescent="0.25">
      <c r="A29" s="78" t="s">
        <v>228</v>
      </c>
      <c r="B29" s="78"/>
      <c r="C29" s="78"/>
      <c r="D29" s="78"/>
      <c r="E29" s="78"/>
      <c r="F29" s="78"/>
      <c r="G29" s="78"/>
      <c r="H29" s="78"/>
      <c r="I29" s="78"/>
    </row>
    <row r="30" spans="1:9" x14ac:dyDescent="0.25">
      <c r="A30" s="7" t="s">
        <v>229</v>
      </c>
      <c r="B30" s="7" t="s">
        <v>230</v>
      </c>
      <c r="C30" s="7" t="s">
        <v>231</v>
      </c>
      <c r="D30" s="7" t="s">
        <v>232</v>
      </c>
      <c r="E30" s="7" t="s">
        <v>233</v>
      </c>
    </row>
    <row r="31" spans="1:9" ht="60" x14ac:dyDescent="0.25">
      <c r="A31" s="6">
        <v>0</v>
      </c>
      <c r="B31" s="6">
        <v>-0.16700000000000001</v>
      </c>
      <c r="C31" s="6" t="s">
        <v>234</v>
      </c>
      <c r="D31" s="6" t="s">
        <v>235</v>
      </c>
      <c r="E31" s="6"/>
    </row>
    <row r="32" spans="1:9" ht="48" x14ac:dyDescent="0.25">
      <c r="A32" s="5">
        <v>3</v>
      </c>
      <c r="B32" s="5">
        <v>-0.20599999999999999</v>
      </c>
      <c r="C32" s="5" t="s">
        <v>234</v>
      </c>
      <c r="D32" s="5" t="s">
        <v>236</v>
      </c>
      <c r="E32" s="5"/>
    </row>
    <row r="33" spans="1:9" ht="84" x14ac:dyDescent="0.25">
      <c r="A33" s="19">
        <v>6</v>
      </c>
      <c r="B33" s="19">
        <v>-0.20899999999999999</v>
      </c>
      <c r="C33" s="19" t="s">
        <v>234</v>
      </c>
      <c r="D33" s="19" t="s">
        <v>237</v>
      </c>
      <c r="E33" s="19" t="s">
        <v>238</v>
      </c>
    </row>
    <row r="34" spans="1:9" ht="60" x14ac:dyDescent="0.25">
      <c r="A34" s="5">
        <v>9</v>
      </c>
      <c r="B34" s="5">
        <v>-0.20399999999999999</v>
      </c>
      <c r="C34" s="5" t="s">
        <v>234</v>
      </c>
      <c r="D34" s="5" t="s">
        <v>239</v>
      </c>
      <c r="E34" s="5"/>
    </row>
    <row r="35" spans="1:9" ht="48" x14ac:dyDescent="0.25">
      <c r="A35" s="6">
        <v>12</v>
      </c>
      <c r="B35" s="6">
        <v>-0.20200000000000001</v>
      </c>
      <c r="C35" s="6" t="s">
        <v>234</v>
      </c>
      <c r="D35" s="6" t="s">
        <v>240</v>
      </c>
      <c r="E35" s="6"/>
    </row>
    <row r="38" spans="1:9" ht="21.75" customHeight="1" x14ac:dyDescent="0.25">
      <c r="A38" s="78" t="s">
        <v>241</v>
      </c>
      <c r="B38" s="78"/>
      <c r="C38" s="78"/>
      <c r="D38" s="78"/>
      <c r="E38" s="78"/>
      <c r="F38" s="78"/>
      <c r="G38" s="78"/>
      <c r="H38" s="78"/>
      <c r="I38" s="78"/>
    </row>
    <row r="39" spans="1:9" ht="24" x14ac:dyDescent="0.25">
      <c r="A39" s="7" t="s">
        <v>242</v>
      </c>
      <c r="B39" s="7" t="s">
        <v>243</v>
      </c>
      <c r="C39" s="7" t="s">
        <v>244</v>
      </c>
      <c r="D39" s="7" t="s">
        <v>245</v>
      </c>
      <c r="E39" s="7" t="s">
        <v>246</v>
      </c>
      <c r="F39" s="7" t="s">
        <v>247</v>
      </c>
      <c r="G39" s="7" t="s">
        <v>248</v>
      </c>
      <c r="H39" s="7" t="s">
        <v>249</v>
      </c>
      <c r="I39" s="7" t="s">
        <v>250</v>
      </c>
    </row>
    <row r="40" spans="1:9" x14ac:dyDescent="0.25">
      <c r="A40" s="16" t="s">
        <v>251</v>
      </c>
      <c r="B40" s="5">
        <v>0</v>
      </c>
      <c r="C40" s="5">
        <v>0.26</v>
      </c>
      <c r="D40" s="5">
        <v>-2.9000000000000001E-2</v>
      </c>
      <c r="E40" s="5">
        <v>-0.48</v>
      </c>
      <c r="F40" s="5">
        <v>1</v>
      </c>
      <c r="G40" s="5">
        <v>-0.13</v>
      </c>
      <c r="H40" s="5">
        <v>3</v>
      </c>
      <c r="I40" s="20" t="s">
        <v>252</v>
      </c>
    </row>
    <row r="41" spans="1:9" x14ac:dyDescent="0.25">
      <c r="A41" s="14" t="s">
        <v>253</v>
      </c>
      <c r="B41" s="6">
        <v>-0.2</v>
      </c>
      <c r="C41" s="6">
        <v>0.36</v>
      </c>
      <c r="D41" s="6">
        <v>-0.20899999999999999</v>
      </c>
      <c r="E41" s="6">
        <v>1.21</v>
      </c>
      <c r="F41" s="6">
        <v>1</v>
      </c>
      <c r="G41" s="6">
        <v>0.43</v>
      </c>
      <c r="H41" s="6">
        <v>2</v>
      </c>
      <c r="I41" s="21" t="s">
        <v>254</v>
      </c>
    </row>
    <row r="42" spans="1:9" x14ac:dyDescent="0.25">
      <c r="A42" s="16" t="s">
        <v>255</v>
      </c>
      <c r="B42" s="5">
        <v>-2.2999999999999998</v>
      </c>
      <c r="C42" s="5">
        <v>1.55</v>
      </c>
      <c r="D42" s="5">
        <v>9.1999999999999998E-2</v>
      </c>
      <c r="E42" s="5">
        <v>-1.63</v>
      </c>
      <c r="F42" s="5">
        <v>1.8</v>
      </c>
      <c r="G42" s="5">
        <v>0.6</v>
      </c>
      <c r="H42" s="5">
        <v>1</v>
      </c>
      <c r="I42" s="21" t="s">
        <v>254</v>
      </c>
    </row>
    <row r="43" spans="1:9" ht="24" x14ac:dyDescent="0.25">
      <c r="A43" s="14" t="s">
        <v>256</v>
      </c>
      <c r="B43" s="6">
        <v>2.6</v>
      </c>
      <c r="C43" s="6">
        <v>-1.23</v>
      </c>
      <c r="D43" s="6">
        <v>-0.155</v>
      </c>
      <c r="E43" s="6">
        <v>0.71</v>
      </c>
      <c r="F43" s="6">
        <v>1.5</v>
      </c>
      <c r="G43" s="6">
        <v>-0.25</v>
      </c>
      <c r="H43" s="6">
        <v>4</v>
      </c>
      <c r="I43" s="19" t="s">
        <v>257</v>
      </c>
    </row>
    <row r="44" spans="1:9" ht="24" x14ac:dyDescent="0.25">
      <c r="A44" s="16" t="s">
        <v>258</v>
      </c>
      <c r="B44" s="5">
        <v>2.1</v>
      </c>
      <c r="C44" s="5">
        <v>-0.94</v>
      </c>
      <c r="D44" s="5">
        <v>-0.10100000000000001</v>
      </c>
      <c r="E44" s="5">
        <v>0.19</v>
      </c>
      <c r="F44" s="5">
        <v>0.8</v>
      </c>
      <c r="G44" s="5">
        <v>-0.64</v>
      </c>
      <c r="H44" s="5">
        <v>5</v>
      </c>
      <c r="I44" s="19" t="s">
        <v>257</v>
      </c>
    </row>
  </sheetData>
  <mergeCells count="5">
    <mergeCell ref="A1:L1"/>
    <mergeCell ref="A3:L3"/>
    <mergeCell ref="A16:H16"/>
    <mergeCell ref="A29:I29"/>
    <mergeCell ref="A38:I38"/>
  </mergeCells>
  <pageMargins left="0.75" right="0.75" top="1" bottom="1" header="0.511811023622047" footer="0.511811023622047"/>
  <pageSetup paperSize="146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6"/>
  <sheetViews>
    <sheetView showGridLines="0" zoomScaleNormal="100" workbookViewId="0">
      <selection activeCell="A2" sqref="A2:J2"/>
    </sheetView>
  </sheetViews>
  <sheetFormatPr defaultColWidth="8.7109375" defaultRowHeight="15" x14ac:dyDescent="0.25"/>
  <cols>
    <col min="1" max="1" width="36" customWidth="1"/>
    <col min="2" max="2" width="16" customWidth="1"/>
    <col min="3" max="3" width="20" customWidth="1"/>
    <col min="4" max="10" width="16" customWidth="1"/>
  </cols>
  <sheetData>
    <row r="1" spans="1:10" ht="36" customHeight="1" x14ac:dyDescent="0.25">
      <c r="A1" s="88" t="s">
        <v>259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ht="18" customHeight="1" x14ac:dyDescent="0.25">
      <c r="A2" s="90" t="s">
        <v>260</v>
      </c>
      <c r="B2" s="90"/>
      <c r="C2" s="90"/>
      <c r="D2" s="90"/>
      <c r="E2" s="90"/>
      <c r="F2" s="90"/>
      <c r="G2" s="90"/>
      <c r="H2" s="90"/>
      <c r="I2" s="90"/>
      <c r="J2" s="90"/>
    </row>
    <row r="3" spans="1:10" ht="15.75" thickBot="1" x14ac:dyDescent="0.3"/>
    <row r="4" spans="1:10" ht="15.75" thickBot="1" x14ac:dyDescent="0.3">
      <c r="A4" s="91" t="s">
        <v>261</v>
      </c>
      <c r="B4" s="92"/>
      <c r="C4" s="93"/>
    </row>
    <row r="5" spans="1:10" ht="24.75" thickBot="1" x14ac:dyDescent="0.3">
      <c r="A5" s="42" t="s">
        <v>262</v>
      </c>
      <c r="B5" s="22">
        <v>4.25</v>
      </c>
      <c r="C5" s="43" t="s">
        <v>263</v>
      </c>
    </row>
    <row r="6" spans="1:10" ht="24.75" thickBot="1" x14ac:dyDescent="0.3">
      <c r="A6" s="42" t="s">
        <v>264</v>
      </c>
      <c r="B6" s="22">
        <v>3</v>
      </c>
      <c r="C6" s="43" t="s">
        <v>265</v>
      </c>
    </row>
    <row r="7" spans="1:10" ht="24.75" thickBot="1" x14ac:dyDescent="0.3">
      <c r="A7" s="42" t="s">
        <v>266</v>
      </c>
      <c r="B7" s="22">
        <v>4</v>
      </c>
      <c r="C7" s="43" t="s">
        <v>267</v>
      </c>
    </row>
    <row r="8" spans="1:10" ht="24.75" thickBot="1" x14ac:dyDescent="0.3">
      <c r="A8" s="44" t="s">
        <v>268</v>
      </c>
      <c r="B8" s="45">
        <v>6</v>
      </c>
      <c r="C8" s="46" t="s">
        <v>269</v>
      </c>
    </row>
    <row r="9" spans="1:10" ht="15.75" thickBot="1" x14ac:dyDescent="0.3"/>
    <row r="10" spans="1:10" x14ac:dyDescent="0.25">
      <c r="A10" s="91" t="s">
        <v>270</v>
      </c>
      <c r="B10" s="92"/>
      <c r="C10" s="93"/>
    </row>
    <row r="11" spans="1:10" ht="33.75" x14ac:dyDescent="0.25">
      <c r="A11" s="35" t="s">
        <v>271</v>
      </c>
      <c r="B11" s="23">
        <f>B6-B5</f>
        <v>-1.25</v>
      </c>
      <c r="C11" s="36" t="s">
        <v>272</v>
      </c>
    </row>
    <row r="12" spans="1:10" ht="33.75" x14ac:dyDescent="0.25">
      <c r="A12" s="37" t="s">
        <v>273</v>
      </c>
      <c r="B12" s="23">
        <f>-0.4*B4</f>
        <v>0</v>
      </c>
      <c r="C12" s="36" t="s">
        <v>274</v>
      </c>
    </row>
    <row r="13" spans="1:10" ht="22.5" x14ac:dyDescent="0.25">
      <c r="A13" s="38" t="s">
        <v>275</v>
      </c>
      <c r="B13" s="24">
        <f>B11+B12</f>
        <v>-1.25</v>
      </c>
      <c r="C13" s="36" t="s">
        <v>276</v>
      </c>
    </row>
    <row r="14" spans="1:10" ht="22.5" x14ac:dyDescent="0.25">
      <c r="A14" s="37" t="s">
        <v>277</v>
      </c>
      <c r="B14" s="23">
        <f>B13*0.35</f>
        <v>-0.4375</v>
      </c>
      <c r="C14" s="36" t="s">
        <v>278</v>
      </c>
    </row>
    <row r="15" spans="1:10" ht="22.5" x14ac:dyDescent="0.25">
      <c r="A15" s="35" t="s">
        <v>279</v>
      </c>
      <c r="B15" s="23">
        <f>B13*1.45</f>
        <v>-1.8125</v>
      </c>
      <c r="C15" s="36" t="s">
        <v>280</v>
      </c>
    </row>
    <row r="16" spans="1:10" ht="22.5" x14ac:dyDescent="0.25">
      <c r="A16" s="37" t="s">
        <v>281</v>
      </c>
      <c r="B16" s="23">
        <f>B13*1.65</f>
        <v>-2.0625</v>
      </c>
      <c r="C16" s="36" t="s">
        <v>282</v>
      </c>
    </row>
    <row r="17" spans="1:10" ht="22.5" x14ac:dyDescent="0.25">
      <c r="A17" s="35" t="s">
        <v>283</v>
      </c>
      <c r="B17" s="23">
        <f>B13*1.4</f>
        <v>-1.75</v>
      </c>
      <c r="C17" s="36" t="s">
        <v>284</v>
      </c>
    </row>
    <row r="18" spans="1:10" ht="23.25" thickBot="1" x14ac:dyDescent="0.3">
      <c r="A18" s="39" t="s">
        <v>285</v>
      </c>
      <c r="B18" s="40">
        <f>B13*0.82</f>
        <v>-1.0249999999999999</v>
      </c>
      <c r="C18" s="41" t="s">
        <v>286</v>
      </c>
    </row>
    <row r="20" spans="1:10" ht="21.75" customHeight="1" x14ac:dyDescent="0.25">
      <c r="A20" s="89" t="s">
        <v>287</v>
      </c>
      <c r="B20" s="89"/>
      <c r="C20" s="89"/>
      <c r="D20" s="89"/>
      <c r="E20" s="89"/>
      <c r="F20" s="89"/>
      <c r="G20" s="89"/>
      <c r="H20" s="89"/>
      <c r="I20" s="89"/>
      <c r="J20" s="89"/>
    </row>
    <row r="21" spans="1:10" ht="19.5" customHeight="1" x14ac:dyDescent="0.25">
      <c r="A21" s="4" t="s">
        <v>288</v>
      </c>
      <c r="B21" s="7" t="s">
        <v>289</v>
      </c>
      <c r="C21" s="7" t="s">
        <v>290</v>
      </c>
      <c r="D21" s="7" t="s">
        <v>291</v>
      </c>
      <c r="E21" s="7" t="s">
        <v>292</v>
      </c>
      <c r="F21" s="7" t="s">
        <v>293</v>
      </c>
      <c r="G21" s="7" t="s">
        <v>294</v>
      </c>
      <c r="H21" s="7" t="s">
        <v>295</v>
      </c>
      <c r="I21" s="7" t="s">
        <v>296</v>
      </c>
      <c r="J21" s="7" t="s">
        <v>297</v>
      </c>
    </row>
    <row r="22" spans="1:10" ht="18" customHeight="1" x14ac:dyDescent="0.25">
      <c r="A22" s="4" t="s">
        <v>292</v>
      </c>
      <c r="B22" s="25">
        <f>($B$6-1.5)+(-0.4*3)</f>
        <v>0.29999999999999982</v>
      </c>
      <c r="C22" s="26">
        <f>($B$6-2)+(-0.4*3)</f>
        <v>-0.20000000000000018</v>
      </c>
      <c r="D22" s="26">
        <f>($B$6-2.5)+(-0.4*3)</f>
        <v>-0.70000000000000018</v>
      </c>
      <c r="E22" s="27">
        <f>($B$6-3)+(-0.4*3)</f>
        <v>-1.2000000000000002</v>
      </c>
      <c r="F22" s="27">
        <f>($B$6-3.5)+(-0.4*3)</f>
        <v>-1.7000000000000002</v>
      </c>
      <c r="G22" s="27">
        <f>($B$6-4)+(-0.4*3)</f>
        <v>-2.2000000000000002</v>
      </c>
      <c r="H22" s="27">
        <f>($B$6-5)+(-0.4*3)</f>
        <v>-3.2</v>
      </c>
      <c r="I22" s="27">
        <f>($B$6-6)+(-0.4*3)</f>
        <v>-4.2</v>
      </c>
      <c r="J22" s="27">
        <f>($B$6-8)+(-0.4*3)</f>
        <v>-6.2</v>
      </c>
    </row>
    <row r="23" spans="1:10" ht="18" customHeight="1" x14ac:dyDescent="0.25">
      <c r="A23" s="4" t="s">
        <v>293</v>
      </c>
      <c r="B23" s="25">
        <f>($B$6-1.5)+(-0.4*3.5)</f>
        <v>9.9999999999999867E-2</v>
      </c>
      <c r="C23" s="26">
        <f>($B$6-2)+(-0.4*3.5)</f>
        <v>-0.40000000000000013</v>
      </c>
      <c r="D23" s="26">
        <f>($B$6-2.5)+(-0.4*3.5)</f>
        <v>-0.90000000000000013</v>
      </c>
      <c r="E23" s="27">
        <f>($B$6-3)+(-0.4*3.5)</f>
        <v>-1.4000000000000001</v>
      </c>
      <c r="F23" s="27">
        <f>($B$6-3.5)+(-0.4*3.5)</f>
        <v>-1.9000000000000001</v>
      </c>
      <c r="G23" s="27">
        <f>($B$6-4)+(-0.4*3.5)</f>
        <v>-2.4000000000000004</v>
      </c>
      <c r="H23" s="27">
        <f>($B$6-5)+(-0.4*3.5)</f>
        <v>-3.4000000000000004</v>
      </c>
      <c r="I23" s="27">
        <f>($B$6-6)+(-0.4*3.5)</f>
        <v>-4.4000000000000004</v>
      </c>
      <c r="J23" s="27">
        <f>($B$6-8)+(-0.4*3.5)</f>
        <v>-6.4</v>
      </c>
    </row>
    <row r="24" spans="1:10" ht="18" customHeight="1" x14ac:dyDescent="0.25">
      <c r="A24" s="4" t="s">
        <v>294</v>
      </c>
      <c r="B24" s="26">
        <f>($B$6-1.5)+(-0.4*4)</f>
        <v>-0.10000000000000009</v>
      </c>
      <c r="C24" s="26">
        <f>($B$6-2)+(-0.4*4)</f>
        <v>-0.60000000000000009</v>
      </c>
      <c r="D24" s="27">
        <f>($B$6-2.5)+(-0.4*4)</f>
        <v>-1.1000000000000001</v>
      </c>
      <c r="E24" s="27">
        <f>($B$6-3)+(-0.4*4)</f>
        <v>-1.6</v>
      </c>
      <c r="F24" s="27">
        <f>($B$6-3.5)+(-0.4*4)</f>
        <v>-2.1</v>
      </c>
      <c r="G24" s="27">
        <f>($B$6-4)+(-0.4*4)</f>
        <v>-2.6</v>
      </c>
      <c r="H24" s="27">
        <f>($B$6-5)+(-0.4*4)</f>
        <v>-3.6</v>
      </c>
      <c r="I24" s="27">
        <f>($B$6-6)+(-0.4*4)</f>
        <v>-4.5999999999999996</v>
      </c>
      <c r="J24" s="27">
        <f>($B$6-8)+(-0.4*4)</f>
        <v>-6.6</v>
      </c>
    </row>
    <row r="25" spans="1:10" ht="18" customHeight="1" x14ac:dyDescent="0.25">
      <c r="A25" s="4" t="s">
        <v>298</v>
      </c>
      <c r="B25" s="26">
        <f>($B$6-1.5)+(-0.4*4.25)</f>
        <v>-0.20000000000000018</v>
      </c>
      <c r="C25" s="26">
        <f>($B$6-2)+(-0.4*4.25)</f>
        <v>-0.70000000000000018</v>
      </c>
      <c r="D25" s="27">
        <f>($B$6-2.5)+(-0.4*4.25)</f>
        <v>-1.2000000000000002</v>
      </c>
      <c r="E25" s="27">
        <f>($B$6-3)+(-0.4*4.25)</f>
        <v>-1.7000000000000002</v>
      </c>
      <c r="F25" s="27">
        <f>($B$6-3.5)+(-0.4*4.25)</f>
        <v>-2.2000000000000002</v>
      </c>
      <c r="G25" s="27">
        <f>($B$6-4)+(-0.4*4.25)</f>
        <v>-2.7</v>
      </c>
      <c r="H25" s="27">
        <f>($B$6-5)+(-0.4*4.25)</f>
        <v>-3.7</v>
      </c>
      <c r="I25" s="27">
        <f>($B$6-6)+(-0.4*4.25)</f>
        <v>-4.7</v>
      </c>
      <c r="J25" s="27">
        <f>($B$6-8)+(-0.4*4.25)</f>
        <v>-6.7</v>
      </c>
    </row>
    <row r="26" spans="1:10" ht="18" customHeight="1" x14ac:dyDescent="0.25">
      <c r="A26" s="4" t="s">
        <v>299</v>
      </c>
      <c r="B26" s="26">
        <f>($B$6-1.5)+(-0.4*4.5)</f>
        <v>-0.30000000000000004</v>
      </c>
      <c r="C26" s="26">
        <f>($B$6-2)+(-0.4*4.5)</f>
        <v>-0.8</v>
      </c>
      <c r="D26" s="27">
        <f>($B$6-2.5)+(-0.4*4.5)</f>
        <v>-1.3</v>
      </c>
      <c r="E26" s="27">
        <f>($B$6-3)+(-0.4*4.5)</f>
        <v>-1.8</v>
      </c>
      <c r="F26" s="27">
        <f>($B$6-3.5)+(-0.4*4.5)</f>
        <v>-2.2999999999999998</v>
      </c>
      <c r="G26" s="27">
        <f>($B$6-4)+(-0.4*4.5)</f>
        <v>-2.8</v>
      </c>
      <c r="H26" s="27">
        <f>($B$6-5)+(-0.4*4.5)</f>
        <v>-3.8</v>
      </c>
      <c r="I26" s="27">
        <f>($B$6-6)+(-0.4*4.5)</f>
        <v>-4.8</v>
      </c>
      <c r="J26" s="27">
        <f>($B$6-8)+(-0.4*4.5)</f>
        <v>-6.8</v>
      </c>
    </row>
    <row r="27" spans="1:10" ht="18" customHeight="1" x14ac:dyDescent="0.25">
      <c r="A27" s="4" t="s">
        <v>295</v>
      </c>
      <c r="B27" s="26">
        <f>($B$6-1.5)+(-0.4*5)</f>
        <v>-0.5</v>
      </c>
      <c r="C27" s="26">
        <f>($B$6-2)+(-0.4*5)</f>
        <v>-1</v>
      </c>
      <c r="D27" s="27">
        <f>($B$6-2.5)+(-0.4*5)</f>
        <v>-1.5</v>
      </c>
      <c r="E27" s="27">
        <f>($B$6-3)+(-0.4*5)</f>
        <v>-2</v>
      </c>
      <c r="F27" s="27">
        <f>($B$6-3.5)+(-0.4*5)</f>
        <v>-2.5</v>
      </c>
      <c r="G27" s="27">
        <f>($B$6-4)+(-0.4*5)</f>
        <v>-3</v>
      </c>
      <c r="H27" s="27">
        <f>($B$6-5)+(-0.4*5)</f>
        <v>-4</v>
      </c>
      <c r="I27" s="27">
        <f>($B$6-6)+(-0.4*5)</f>
        <v>-5</v>
      </c>
      <c r="J27" s="27">
        <f>($B$6-8)+(-0.4*5)</f>
        <v>-7</v>
      </c>
    </row>
    <row r="28" spans="1:10" ht="18" customHeight="1" x14ac:dyDescent="0.25">
      <c r="A28" s="4" t="s">
        <v>300</v>
      </c>
      <c r="B28" s="26">
        <f>($B$6-1.5)+(-0.4*5.25)</f>
        <v>-0.60000000000000009</v>
      </c>
      <c r="C28" s="27">
        <f>($B$6-2)+(-0.4*5.25)</f>
        <v>-1.1000000000000001</v>
      </c>
      <c r="D28" s="27">
        <f>($B$6-2.5)+(-0.4*5.25)</f>
        <v>-1.6</v>
      </c>
      <c r="E28" s="27">
        <f>($B$6-3)+(-0.4*5.25)</f>
        <v>-2.1</v>
      </c>
      <c r="F28" s="27">
        <f>($B$6-3.5)+(-0.4*5.25)</f>
        <v>-2.6</v>
      </c>
      <c r="G28" s="27">
        <f>($B$6-4)+(-0.4*5.25)</f>
        <v>-3.1</v>
      </c>
      <c r="H28" s="27">
        <f>($B$6-5)+(-0.4*5.25)</f>
        <v>-4.0999999999999996</v>
      </c>
      <c r="I28" s="27">
        <f>($B$6-6)+(-0.4*5.25)</f>
        <v>-5.0999999999999996</v>
      </c>
      <c r="J28" s="27">
        <f>($B$6-8)+(-0.4*5.25)</f>
        <v>-7.1</v>
      </c>
    </row>
    <row r="29" spans="1:10" ht="18" customHeight="1" x14ac:dyDescent="0.25">
      <c r="A29" s="4" t="s">
        <v>301</v>
      </c>
      <c r="B29" s="26">
        <f>($B$6-1.5)+(-0.4*5.5)</f>
        <v>-0.70000000000000018</v>
      </c>
      <c r="C29" s="27">
        <f>($B$6-2)+(-0.4*5.5)</f>
        <v>-1.2000000000000002</v>
      </c>
      <c r="D29" s="27">
        <f>($B$6-2.5)+(-0.4*5.5)</f>
        <v>-1.7000000000000002</v>
      </c>
      <c r="E29" s="27">
        <f>($B$6-3)+(-0.4*5.5)</f>
        <v>-2.2000000000000002</v>
      </c>
      <c r="F29" s="27">
        <f>($B$6-3.5)+(-0.4*5.5)</f>
        <v>-2.7</v>
      </c>
      <c r="G29" s="27">
        <f>($B$6-4)+(-0.4*5.5)</f>
        <v>-3.2</v>
      </c>
      <c r="H29" s="27">
        <f>($B$6-5)+(-0.4*5.5)</f>
        <v>-4.2</v>
      </c>
      <c r="I29" s="27">
        <f>($B$6-6)+(-0.4*5.5)</f>
        <v>-5.2</v>
      </c>
      <c r="J29" s="27">
        <f>($B$6-8)+(-0.4*5.5)</f>
        <v>-7.2</v>
      </c>
    </row>
    <row r="30" spans="1:10" ht="18" customHeight="1" x14ac:dyDescent="0.25">
      <c r="A30" s="4" t="s">
        <v>296</v>
      </c>
      <c r="B30" s="26">
        <f>($B$6-1.5)+(-0.4*6)</f>
        <v>-0.90000000000000036</v>
      </c>
      <c r="C30" s="27">
        <f>($B$6-2)+(-0.4*6)</f>
        <v>-1.4000000000000004</v>
      </c>
      <c r="D30" s="27">
        <f>($B$6-2.5)+(-0.4*6)</f>
        <v>-1.9000000000000004</v>
      </c>
      <c r="E30" s="27">
        <f>($B$6-3)+(-0.4*6)</f>
        <v>-2.4000000000000004</v>
      </c>
      <c r="F30" s="27">
        <f>($B$6-3.5)+(-0.4*6)</f>
        <v>-2.9000000000000004</v>
      </c>
      <c r="G30" s="27">
        <f>($B$6-4)+(-0.4*6)</f>
        <v>-3.4000000000000004</v>
      </c>
      <c r="H30" s="27">
        <f>($B$6-5)+(-0.4*6)</f>
        <v>-4.4000000000000004</v>
      </c>
      <c r="I30" s="27">
        <f>($B$6-6)+(-0.4*6)</f>
        <v>-5.4</v>
      </c>
      <c r="J30" s="27">
        <f>($B$6-8)+(-0.4*6)</f>
        <v>-7.4</v>
      </c>
    </row>
    <row r="33" spans="1:10" ht="21.75" customHeight="1" x14ac:dyDescent="0.25">
      <c r="A33" s="89" t="s">
        <v>302</v>
      </c>
      <c r="B33" s="89"/>
      <c r="C33" s="89"/>
      <c r="D33" s="89"/>
      <c r="E33" s="89"/>
      <c r="F33" s="89"/>
      <c r="G33" s="89"/>
      <c r="H33" s="89"/>
      <c r="I33" s="89"/>
      <c r="J33" s="89"/>
    </row>
    <row r="34" spans="1:10" ht="19.5" customHeight="1" x14ac:dyDescent="0.25">
      <c r="A34" s="4" t="s">
        <v>303</v>
      </c>
      <c r="B34" s="4" t="s">
        <v>304</v>
      </c>
      <c r="C34" s="4" t="s">
        <v>305</v>
      </c>
      <c r="D34" s="4" t="s">
        <v>306</v>
      </c>
      <c r="E34" s="4" t="s">
        <v>307</v>
      </c>
      <c r="F34" s="4" t="s">
        <v>308</v>
      </c>
      <c r="G34" s="4" t="s">
        <v>309</v>
      </c>
    </row>
    <row r="35" spans="1:10" ht="15.75" customHeight="1" x14ac:dyDescent="0.25">
      <c r="A35" s="14" t="s">
        <v>310</v>
      </c>
      <c r="B35" s="28">
        <f>$B$13*1</f>
        <v>-1.25</v>
      </c>
      <c r="C35" s="28">
        <f>$B$14*1</f>
        <v>-0.4375</v>
      </c>
      <c r="D35" s="28">
        <f>$B$15*1</f>
        <v>-1.8125</v>
      </c>
      <c r="E35" s="28">
        <f>$B$16*1</f>
        <v>-2.0625</v>
      </c>
      <c r="F35" s="28">
        <f>$B$17*1</f>
        <v>-1.75</v>
      </c>
      <c r="G35" s="28">
        <f>$B$18*1</f>
        <v>-1.0249999999999999</v>
      </c>
    </row>
    <row r="36" spans="1:10" ht="15.75" customHeight="1" x14ac:dyDescent="0.25">
      <c r="A36" s="16" t="s">
        <v>311</v>
      </c>
      <c r="B36" s="29">
        <f>$B$13*0.967</f>
        <v>-1.20875</v>
      </c>
      <c r="C36" s="29">
        <f>$B$14*0.967</f>
        <v>-0.42306250000000001</v>
      </c>
      <c r="D36" s="29">
        <f>$B$15*0.967</f>
        <v>-1.7526875</v>
      </c>
      <c r="E36" s="29">
        <f>$B$16*0.967</f>
        <v>-1.9944374999999999</v>
      </c>
      <c r="F36" s="29">
        <f>$B$17*0.967</f>
        <v>-1.69225</v>
      </c>
      <c r="G36" s="29">
        <f>$B$18*0.967</f>
        <v>-0.99117499999999992</v>
      </c>
    </row>
    <row r="37" spans="1:10" ht="15.75" customHeight="1" x14ac:dyDescent="0.25">
      <c r="A37" s="14" t="s">
        <v>312</v>
      </c>
      <c r="B37" s="28">
        <f>$B$13*0.934</f>
        <v>-1.1675</v>
      </c>
      <c r="C37" s="28">
        <f>$B$14*0.934</f>
        <v>-0.40862500000000002</v>
      </c>
      <c r="D37" s="28">
        <f>$B$15*0.934</f>
        <v>-1.6928750000000001</v>
      </c>
      <c r="E37" s="28">
        <f>$B$16*0.934</f>
        <v>-1.9263750000000002</v>
      </c>
      <c r="F37" s="28">
        <f>$B$17*0.934</f>
        <v>-1.6345000000000001</v>
      </c>
      <c r="G37" s="28">
        <f>$B$18*0.934</f>
        <v>-0.95734999999999992</v>
      </c>
    </row>
    <row r="38" spans="1:10" ht="15.75" customHeight="1" x14ac:dyDescent="0.25">
      <c r="A38" s="16" t="s">
        <v>313</v>
      </c>
      <c r="B38" s="29">
        <f>$B$13*0.901</f>
        <v>-1.12625</v>
      </c>
      <c r="C38" s="29">
        <f>$B$14*0.901</f>
        <v>-0.39418750000000002</v>
      </c>
      <c r="D38" s="29">
        <f>$B$15*0.901</f>
        <v>-1.6330625000000001</v>
      </c>
      <c r="E38" s="29">
        <f>$B$16*0.901</f>
        <v>-1.8583125</v>
      </c>
      <c r="F38" s="29">
        <f>$B$17*0.901</f>
        <v>-1.5767500000000001</v>
      </c>
      <c r="G38" s="29">
        <f>$B$18*0.901</f>
        <v>-0.92352499999999993</v>
      </c>
    </row>
    <row r="39" spans="1:10" ht="15.75" customHeight="1" x14ac:dyDescent="0.25">
      <c r="A39" s="14" t="s">
        <v>314</v>
      </c>
      <c r="B39" s="28">
        <f>$B$13*0.868</f>
        <v>-1.085</v>
      </c>
      <c r="C39" s="28">
        <f>$B$14*0.868</f>
        <v>-0.37974999999999998</v>
      </c>
      <c r="D39" s="28">
        <f>$B$15*0.868</f>
        <v>-1.57325</v>
      </c>
      <c r="E39" s="28">
        <f>$B$16*0.868</f>
        <v>-1.7902499999999999</v>
      </c>
      <c r="F39" s="28">
        <f>$B$17*0.868</f>
        <v>-1.5189999999999999</v>
      </c>
      <c r="G39" s="28">
        <f>$B$18*0.868</f>
        <v>-0.88969999999999994</v>
      </c>
    </row>
    <row r="40" spans="1:10" ht="15.75" customHeight="1" x14ac:dyDescent="0.25">
      <c r="A40" s="16" t="s">
        <v>315</v>
      </c>
      <c r="B40" s="29">
        <f>$B$13*0.835</f>
        <v>-1.04375</v>
      </c>
      <c r="C40" s="29">
        <f>$B$14*0.835</f>
        <v>-0.36531249999999998</v>
      </c>
      <c r="D40" s="29">
        <f>$B$15*0.835</f>
        <v>-1.5134375</v>
      </c>
      <c r="E40" s="29">
        <f>$B$16*0.835</f>
        <v>-1.7221875</v>
      </c>
      <c r="F40" s="29">
        <f>$B$17*0.835</f>
        <v>-1.4612499999999999</v>
      </c>
      <c r="G40" s="29">
        <f>$B$18*0.835</f>
        <v>-0.85587499999999994</v>
      </c>
    </row>
    <row r="41" spans="1:10" ht="15.75" customHeight="1" x14ac:dyDescent="0.25">
      <c r="A41" s="14" t="s">
        <v>316</v>
      </c>
      <c r="B41" s="28">
        <f>$B$13*0.802</f>
        <v>-1.0024999999999999</v>
      </c>
      <c r="C41" s="28">
        <f>$B$14*0.802</f>
        <v>-0.35087500000000005</v>
      </c>
      <c r="D41" s="28">
        <f>$B$15*0.802</f>
        <v>-1.4536250000000002</v>
      </c>
      <c r="E41" s="28">
        <f>$B$16*0.802</f>
        <v>-1.6541250000000001</v>
      </c>
      <c r="F41" s="28">
        <f>$B$17*0.802</f>
        <v>-1.4035000000000002</v>
      </c>
      <c r="G41" s="28">
        <f>$B$18*0.802</f>
        <v>-0.82204999999999995</v>
      </c>
    </row>
    <row r="42" spans="1:10" ht="15.75" customHeight="1" x14ac:dyDescent="0.25">
      <c r="A42" s="16" t="s">
        <v>317</v>
      </c>
      <c r="B42" s="29">
        <f>$B$13*0.769</f>
        <v>-0.96125000000000005</v>
      </c>
      <c r="C42" s="29">
        <f>$B$14*0.769</f>
        <v>-0.3364375</v>
      </c>
      <c r="D42" s="29">
        <f>$B$15*0.769</f>
        <v>-1.3938125000000001</v>
      </c>
      <c r="E42" s="29">
        <f>$B$16*0.769</f>
        <v>-1.5860624999999999</v>
      </c>
      <c r="F42" s="29">
        <f>$B$17*0.769</f>
        <v>-1.34575</v>
      </c>
      <c r="G42" s="29">
        <f>$B$18*0.769</f>
        <v>-0.78822499999999995</v>
      </c>
    </row>
    <row r="43" spans="1:10" ht="15.75" customHeight="1" x14ac:dyDescent="0.25">
      <c r="A43" s="14" t="s">
        <v>318</v>
      </c>
      <c r="B43" s="28">
        <f>$B$13*0.736</f>
        <v>-0.91999999999999993</v>
      </c>
      <c r="C43" s="28">
        <f>$B$14*0.736</f>
        <v>-0.32200000000000001</v>
      </c>
      <c r="D43" s="28">
        <f>$B$15*0.736</f>
        <v>-1.3340000000000001</v>
      </c>
      <c r="E43" s="28">
        <f>$B$16*0.736</f>
        <v>-1.518</v>
      </c>
      <c r="F43" s="28">
        <f>$B$17*0.736</f>
        <v>-1.288</v>
      </c>
      <c r="G43" s="28">
        <f>$B$18*0.736</f>
        <v>-0.75439999999999996</v>
      </c>
    </row>
    <row r="44" spans="1:10" ht="15.75" customHeight="1" x14ac:dyDescent="0.25">
      <c r="A44" s="16" t="s">
        <v>319</v>
      </c>
      <c r="B44" s="29">
        <f>$B$13*0.703</f>
        <v>-0.87874999999999992</v>
      </c>
      <c r="C44" s="29">
        <f>$B$14*0.703</f>
        <v>-0.30756249999999996</v>
      </c>
      <c r="D44" s="29">
        <f>$B$15*0.703</f>
        <v>-1.2741875</v>
      </c>
      <c r="E44" s="29">
        <f>$B$16*0.703</f>
        <v>-1.4499374999999999</v>
      </c>
      <c r="F44" s="29">
        <f>$B$17*0.703</f>
        <v>-1.2302499999999998</v>
      </c>
      <c r="G44" s="29">
        <f>$B$18*0.703</f>
        <v>-0.72057499999999985</v>
      </c>
    </row>
    <row r="45" spans="1:10" ht="15.75" customHeight="1" x14ac:dyDescent="0.25">
      <c r="A45" s="14" t="s">
        <v>320</v>
      </c>
      <c r="B45" s="28">
        <f>$B$13*0.67</f>
        <v>-0.83750000000000002</v>
      </c>
      <c r="C45" s="28">
        <f>$B$14*0.67</f>
        <v>-0.29312500000000002</v>
      </c>
      <c r="D45" s="28">
        <f>$B$15*0.67</f>
        <v>-1.214375</v>
      </c>
      <c r="E45" s="28">
        <f>$B$16*0.67</f>
        <v>-1.3818750000000002</v>
      </c>
      <c r="F45" s="28">
        <f>$B$17*0.67</f>
        <v>-1.1725000000000001</v>
      </c>
      <c r="G45" s="28">
        <f>$B$18*0.67</f>
        <v>-0.68674999999999997</v>
      </c>
    </row>
    <row r="46" spans="1:10" ht="15.75" customHeight="1" x14ac:dyDescent="0.25">
      <c r="A46" s="16" t="s">
        <v>321</v>
      </c>
      <c r="B46" s="29">
        <f>$B$13*0.637</f>
        <v>-0.79625000000000001</v>
      </c>
      <c r="C46" s="29">
        <f>$B$14*0.637</f>
        <v>-0.27868749999999998</v>
      </c>
      <c r="D46" s="29">
        <f>$B$15*0.637</f>
        <v>-1.1545624999999999</v>
      </c>
      <c r="E46" s="29">
        <f>$B$16*0.637</f>
        <v>-1.3138125</v>
      </c>
      <c r="F46" s="29">
        <f>$B$17*0.637</f>
        <v>-1.1147499999999999</v>
      </c>
      <c r="G46" s="29">
        <f>$B$18*0.637</f>
        <v>-0.65292499999999998</v>
      </c>
    </row>
  </sheetData>
  <mergeCells count="6">
    <mergeCell ref="A33:J33"/>
    <mergeCell ref="A1:J1"/>
    <mergeCell ref="A2:J2"/>
    <mergeCell ref="A4:C4"/>
    <mergeCell ref="A10:C10"/>
    <mergeCell ref="A20:J20"/>
  </mergeCells>
  <pageMargins left="0.75" right="0.75" top="1" bottom="1" header="0.511811023622047" footer="0.511811023622047"/>
  <pageSetup paperSize="147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24"/>
  <sheetViews>
    <sheetView showGridLines="0" zoomScale="70" zoomScaleNormal="70" workbookViewId="0">
      <selection activeCell="A222" sqref="A222:D322"/>
    </sheetView>
  </sheetViews>
  <sheetFormatPr defaultColWidth="8.7109375" defaultRowHeight="15" x14ac:dyDescent="0.25"/>
  <cols>
    <col min="1" max="1" width="14" customWidth="1"/>
    <col min="2" max="24" width="9.5703125" customWidth="1"/>
  </cols>
  <sheetData>
    <row r="1" spans="1:24" ht="45.75" customHeight="1" x14ac:dyDescent="0.25">
      <c r="A1" s="47" t="s">
        <v>322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9"/>
    </row>
    <row r="2" spans="1:24" ht="18" customHeight="1" x14ac:dyDescent="0.25">
      <c r="A2" s="50" t="s">
        <v>323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2"/>
    </row>
    <row r="3" spans="1:24" ht="19.5" customHeight="1" x14ac:dyDescent="0.25">
      <c r="A3" s="53" t="s">
        <v>324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</row>
    <row r="4" spans="1:24" ht="15.75" customHeight="1" x14ac:dyDescent="0.25">
      <c r="A4" s="56" t="s">
        <v>325</v>
      </c>
      <c r="B4" s="57"/>
      <c r="C4" s="57"/>
      <c r="D4" s="57"/>
      <c r="E4" s="57"/>
      <c r="F4" s="57" t="s">
        <v>326</v>
      </c>
      <c r="G4" s="57"/>
      <c r="H4" s="57"/>
      <c r="I4" s="57"/>
      <c r="J4" s="57"/>
      <c r="K4" s="57" t="s">
        <v>327</v>
      </c>
      <c r="L4" s="57"/>
      <c r="M4" s="57"/>
      <c r="N4" s="57"/>
      <c r="O4" s="57"/>
      <c r="P4" s="57" t="s">
        <v>328</v>
      </c>
      <c r="Q4" s="57"/>
      <c r="R4" s="57"/>
      <c r="S4" s="57"/>
      <c r="T4" s="57" t="s">
        <v>329</v>
      </c>
      <c r="U4" s="57"/>
      <c r="V4" s="57"/>
      <c r="W4" s="57"/>
      <c r="X4" s="58"/>
    </row>
    <row r="5" spans="1:24" ht="36" customHeight="1" x14ac:dyDescent="0.25">
      <c r="A5" s="59">
        <v>2.8000000000000001E-2</v>
      </c>
      <c r="B5" s="60"/>
      <c r="C5" s="60"/>
      <c r="D5" s="60"/>
      <c r="E5" s="60"/>
      <c r="F5" s="61">
        <v>3.7499999999999999E-2</v>
      </c>
      <c r="G5" s="62"/>
      <c r="H5" s="62"/>
      <c r="I5" s="62"/>
      <c r="J5" s="62"/>
      <c r="K5" s="63">
        <v>1.7000000000000001E-2</v>
      </c>
      <c r="L5" s="64"/>
      <c r="M5" s="64"/>
      <c r="N5" s="64"/>
      <c r="O5" s="64"/>
      <c r="P5" s="65">
        <v>3.7999999999999999E-2</v>
      </c>
      <c r="Q5" s="66"/>
      <c r="R5" s="66"/>
      <c r="S5" s="66"/>
      <c r="T5" s="64">
        <v>107.7</v>
      </c>
      <c r="U5" s="64"/>
      <c r="V5" s="64"/>
      <c r="W5" s="64"/>
      <c r="X5" s="67"/>
    </row>
    <row r="6" spans="1:24" ht="15.75" customHeight="1" x14ac:dyDescent="0.25">
      <c r="A6" s="68" t="s">
        <v>330</v>
      </c>
      <c r="B6" s="69"/>
      <c r="C6" s="69"/>
      <c r="D6" s="69"/>
      <c r="E6" s="69"/>
      <c r="F6" s="69" t="s">
        <v>331</v>
      </c>
      <c r="G6" s="69"/>
      <c r="H6" s="69"/>
      <c r="I6" s="69"/>
      <c r="J6" s="69"/>
      <c r="K6" s="69" t="s">
        <v>332</v>
      </c>
      <c r="L6" s="69"/>
      <c r="M6" s="69"/>
      <c r="N6" s="69"/>
      <c r="O6" s="69"/>
      <c r="P6" s="69" t="s">
        <v>333</v>
      </c>
      <c r="Q6" s="69"/>
      <c r="R6" s="69"/>
      <c r="S6" s="69"/>
      <c r="T6" s="69" t="s">
        <v>334</v>
      </c>
      <c r="U6" s="69"/>
      <c r="V6" s="69"/>
      <c r="W6" s="69"/>
      <c r="X6" s="70"/>
    </row>
    <row r="7" spans="1:24" ht="6" customHeight="1" x14ac:dyDescent="0.25">
      <c r="A7" s="30"/>
      <c r="X7" s="31"/>
    </row>
    <row r="8" spans="1:24" x14ac:dyDescent="0.25">
      <c r="A8" s="30"/>
      <c r="X8" s="31"/>
    </row>
    <row r="9" spans="1:24" x14ac:dyDescent="0.25">
      <c r="A9" s="30"/>
      <c r="X9" s="31"/>
    </row>
    <row r="10" spans="1:24" x14ac:dyDescent="0.25">
      <c r="A10" s="30"/>
      <c r="X10" s="31"/>
    </row>
    <row r="11" spans="1:24" x14ac:dyDescent="0.25">
      <c r="A11" s="30"/>
      <c r="X11" s="31"/>
    </row>
    <row r="12" spans="1:24" x14ac:dyDescent="0.25">
      <c r="A12" s="30"/>
      <c r="X12" s="31"/>
    </row>
    <row r="13" spans="1:24" x14ac:dyDescent="0.25">
      <c r="A13" s="30"/>
      <c r="X13" s="31"/>
    </row>
    <row r="14" spans="1:24" x14ac:dyDescent="0.25">
      <c r="A14" s="30"/>
      <c r="X14" s="31"/>
    </row>
    <row r="15" spans="1:24" x14ac:dyDescent="0.25">
      <c r="A15" s="30"/>
      <c r="X15" s="31"/>
    </row>
    <row r="16" spans="1:24" x14ac:dyDescent="0.25">
      <c r="A16" s="30"/>
      <c r="X16" s="31"/>
    </row>
    <row r="17" spans="1:24" x14ac:dyDescent="0.25">
      <c r="A17" s="30"/>
      <c r="X17" s="31"/>
    </row>
    <row r="18" spans="1:24" x14ac:dyDescent="0.25">
      <c r="A18" s="30"/>
      <c r="X18" s="31"/>
    </row>
    <row r="19" spans="1:24" x14ac:dyDescent="0.25">
      <c r="A19" s="30"/>
      <c r="X19" s="31"/>
    </row>
    <row r="20" spans="1:24" x14ac:dyDescent="0.25">
      <c r="A20" s="30"/>
      <c r="X20" s="31"/>
    </row>
    <row r="21" spans="1:24" x14ac:dyDescent="0.25">
      <c r="A21" s="30"/>
      <c r="X21" s="31"/>
    </row>
    <row r="22" spans="1:24" x14ac:dyDescent="0.25">
      <c r="A22" s="30"/>
      <c r="X22" s="31"/>
    </row>
    <row r="23" spans="1:24" x14ac:dyDescent="0.25">
      <c r="A23" s="30"/>
      <c r="X23" s="31"/>
    </row>
    <row r="24" spans="1:24" x14ac:dyDescent="0.25">
      <c r="A24" s="30"/>
      <c r="X24" s="31"/>
    </row>
    <row r="25" spans="1:24" x14ac:dyDescent="0.25">
      <c r="A25" s="30"/>
      <c r="X25" s="31"/>
    </row>
    <row r="26" spans="1:24" x14ac:dyDescent="0.25">
      <c r="A26" s="30"/>
      <c r="X26" s="31"/>
    </row>
    <row r="27" spans="1:24" x14ac:dyDescent="0.25">
      <c r="A27" s="30"/>
      <c r="X27" s="31"/>
    </row>
    <row r="28" spans="1:24" x14ac:dyDescent="0.25">
      <c r="A28" s="30"/>
      <c r="X28" s="31"/>
    </row>
    <row r="29" spans="1:24" x14ac:dyDescent="0.25">
      <c r="A29" s="30"/>
      <c r="X29" s="31"/>
    </row>
    <row r="30" spans="1:24" x14ac:dyDescent="0.25">
      <c r="A30" s="30"/>
      <c r="X30" s="31"/>
    </row>
    <row r="31" spans="1:24" x14ac:dyDescent="0.25">
      <c r="A31" s="30"/>
      <c r="X31" s="31"/>
    </row>
    <row r="32" spans="1:24" x14ac:dyDescent="0.25">
      <c r="A32" s="30"/>
      <c r="X32" s="31"/>
    </row>
    <row r="33" spans="1:24" x14ac:dyDescent="0.25">
      <c r="A33" s="30"/>
      <c r="X33" s="31"/>
    </row>
    <row r="34" spans="1:24" x14ac:dyDescent="0.25">
      <c r="A34" s="30"/>
      <c r="X34" s="31"/>
    </row>
    <row r="35" spans="1:24" x14ac:dyDescent="0.25">
      <c r="A35" s="30"/>
      <c r="X35" s="31"/>
    </row>
    <row r="36" spans="1:24" x14ac:dyDescent="0.25">
      <c r="A36" s="30"/>
      <c r="X36" s="31"/>
    </row>
    <row r="37" spans="1:24" x14ac:dyDescent="0.25">
      <c r="A37" s="30"/>
      <c r="X37" s="31"/>
    </row>
    <row r="38" spans="1:24" x14ac:dyDescent="0.25">
      <c r="A38" s="30"/>
      <c r="X38" s="31"/>
    </row>
    <row r="39" spans="1:24" x14ac:dyDescent="0.25">
      <c r="A39" s="30"/>
      <c r="X39" s="31"/>
    </row>
    <row r="40" spans="1:24" x14ac:dyDescent="0.25">
      <c r="A40" s="30"/>
      <c r="X40" s="31"/>
    </row>
    <row r="41" spans="1:24" x14ac:dyDescent="0.25">
      <c r="A41" s="30"/>
      <c r="X41" s="31"/>
    </row>
    <row r="42" spans="1:24" x14ac:dyDescent="0.25">
      <c r="A42" s="30"/>
      <c r="X42" s="31"/>
    </row>
    <row r="43" spans="1:24" x14ac:dyDescent="0.25">
      <c r="A43" s="30"/>
      <c r="X43" s="31"/>
    </row>
    <row r="44" spans="1:24" x14ac:dyDescent="0.25">
      <c r="A44" s="30"/>
      <c r="X44" s="31"/>
    </row>
    <row r="45" spans="1:24" x14ac:dyDescent="0.25">
      <c r="A45" s="30"/>
      <c r="X45" s="31"/>
    </row>
    <row r="46" spans="1:24" x14ac:dyDescent="0.25">
      <c r="A46" s="30"/>
      <c r="X46" s="31"/>
    </row>
    <row r="47" spans="1:24" x14ac:dyDescent="0.25">
      <c r="A47" s="30"/>
      <c r="X47" s="31"/>
    </row>
    <row r="48" spans="1:24" x14ac:dyDescent="0.25">
      <c r="A48" s="30"/>
      <c r="X48" s="31"/>
    </row>
    <row r="49" spans="1:24" x14ac:dyDescent="0.25">
      <c r="A49" s="30"/>
      <c r="X49" s="31"/>
    </row>
    <row r="50" spans="1:24" ht="7.5" customHeight="1" x14ac:dyDescent="0.25">
      <c r="A50" s="30"/>
      <c r="X50" s="31"/>
    </row>
    <row r="51" spans="1:24" ht="24" customHeight="1" x14ac:dyDescent="0.25">
      <c r="A51" s="71" t="s">
        <v>335</v>
      </c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3"/>
    </row>
    <row r="52" spans="1:24" ht="27.75" customHeight="1" x14ac:dyDescent="0.25">
      <c r="A52" s="74" t="s">
        <v>336</v>
      </c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6"/>
    </row>
    <row r="53" spans="1:24" ht="27.75" customHeight="1" x14ac:dyDescent="0.25">
      <c r="A53" s="74" t="s">
        <v>337</v>
      </c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6"/>
    </row>
    <row r="54" spans="1:24" ht="27.75" customHeight="1" x14ac:dyDescent="0.25">
      <c r="A54" s="74" t="s">
        <v>338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6"/>
    </row>
    <row r="55" spans="1:24" ht="7.5" customHeight="1" x14ac:dyDescent="0.25">
      <c r="A55" s="30"/>
      <c r="X55" s="31"/>
    </row>
    <row r="56" spans="1:24" ht="21.75" customHeight="1" x14ac:dyDescent="0.25">
      <c r="A56" s="77" t="s">
        <v>339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9"/>
    </row>
    <row r="57" spans="1:24" ht="18" customHeight="1" x14ac:dyDescent="0.25">
      <c r="A57" s="80" t="s">
        <v>340</v>
      </c>
      <c r="B57" s="81"/>
      <c r="C57" s="81"/>
      <c r="D57" s="81"/>
      <c r="E57" s="81"/>
      <c r="F57" s="81"/>
      <c r="G57" s="82" t="str">
        <f>Scenario_Model!B5&amp;"%"</f>
        <v>4.25%</v>
      </c>
      <c r="H57" s="82"/>
      <c r="I57" s="82"/>
      <c r="J57" s="82"/>
      <c r="K57" s="82"/>
      <c r="X57" s="31"/>
    </row>
    <row r="58" spans="1:24" ht="18" customHeight="1" x14ac:dyDescent="0.25">
      <c r="A58" s="83" t="s">
        <v>341</v>
      </c>
      <c r="B58" s="84"/>
      <c r="C58" s="84"/>
      <c r="D58" s="84"/>
      <c r="E58" s="84"/>
      <c r="F58" s="84"/>
      <c r="G58" s="82" t="str">
        <f>Scenario_Model!B6&amp;"%"</f>
        <v>3%</v>
      </c>
      <c r="H58" s="82"/>
      <c r="I58" s="82"/>
      <c r="J58" s="82"/>
      <c r="K58" s="82"/>
      <c r="X58" s="31"/>
    </row>
    <row r="59" spans="1:24" ht="18" customHeight="1" x14ac:dyDescent="0.25">
      <c r="A59" s="80" t="s">
        <v>342</v>
      </c>
      <c r="B59" s="81"/>
      <c r="C59" s="81"/>
      <c r="D59" s="81"/>
      <c r="E59" s="81"/>
      <c r="F59" s="81"/>
      <c r="G59" s="82" t="str">
        <f>Scenario_Model!B7&amp;"%"</f>
        <v>4%</v>
      </c>
      <c r="H59" s="82"/>
      <c r="I59" s="82"/>
      <c r="J59" s="82"/>
      <c r="K59" s="82"/>
      <c r="X59" s="31"/>
    </row>
    <row r="60" spans="1:24" ht="18" customHeight="1" x14ac:dyDescent="0.25">
      <c r="A60" s="83" t="s">
        <v>343</v>
      </c>
      <c r="B60" s="84"/>
      <c r="C60" s="84"/>
      <c r="D60" s="84"/>
      <c r="E60" s="84"/>
      <c r="F60" s="84"/>
      <c r="G60" s="82" t="str">
        <f>TEXT(Scenario_Model!B13,"0.00")&amp;"%"</f>
        <v>-1.25%</v>
      </c>
      <c r="H60" s="82"/>
      <c r="I60" s="82"/>
      <c r="J60" s="82"/>
      <c r="K60" s="82"/>
      <c r="X60" s="31"/>
    </row>
    <row r="61" spans="1:24" ht="18" customHeight="1" x14ac:dyDescent="0.25">
      <c r="A61" s="80" t="s">
        <v>344</v>
      </c>
      <c r="B61" s="81"/>
      <c r="C61" s="81"/>
      <c r="D61" s="81"/>
      <c r="E61" s="81"/>
      <c r="F61" s="81"/>
      <c r="G61" s="82" t="str">
        <f>TEXT(Scenario_Model!B14,"0.00")&amp;"%"</f>
        <v>-0.44%</v>
      </c>
      <c r="H61" s="82"/>
      <c r="I61" s="82"/>
      <c r="J61" s="82"/>
      <c r="K61" s="82"/>
      <c r="X61" s="31"/>
    </row>
    <row r="62" spans="1:24" ht="18" customHeight="1" x14ac:dyDescent="0.25">
      <c r="A62" s="83" t="s">
        <v>345</v>
      </c>
      <c r="B62" s="84"/>
      <c r="C62" s="84"/>
      <c r="D62" s="84"/>
      <c r="E62" s="84"/>
      <c r="F62" s="84"/>
      <c r="G62" s="82" t="str">
        <f>TEXT(Scenario_Model!B16,"0.00")&amp;"%"</f>
        <v>-2.06%</v>
      </c>
      <c r="H62" s="82"/>
      <c r="I62" s="82"/>
      <c r="J62" s="82"/>
      <c r="K62" s="82"/>
      <c r="X62" s="31"/>
    </row>
    <row r="63" spans="1:24" ht="18" customHeight="1" x14ac:dyDescent="0.25">
      <c r="A63" s="80" t="s">
        <v>346</v>
      </c>
      <c r="B63" s="81"/>
      <c r="C63" s="81"/>
      <c r="D63" s="81"/>
      <c r="E63" s="81"/>
      <c r="F63" s="81"/>
      <c r="G63" s="82" t="str">
        <f>TEXT(Scenario_Model!B18,"0.00")&amp;"%"</f>
        <v>-1.03%</v>
      </c>
      <c r="H63" s="82"/>
      <c r="I63" s="82"/>
      <c r="J63" s="82"/>
      <c r="K63" s="82"/>
      <c r="X63" s="31"/>
    </row>
    <row r="64" spans="1:24" ht="15.75" thickBot="1" x14ac:dyDescent="0.3">
      <c r="A64" s="32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4"/>
    </row>
    <row r="200" spans="1:5" ht="15" customHeight="1" x14ac:dyDescent="0.25">
      <c r="A200" t="s">
        <v>208</v>
      </c>
      <c r="B200" t="s">
        <v>13</v>
      </c>
      <c r="C200" t="s">
        <v>203</v>
      </c>
      <c r="D200" t="s">
        <v>218</v>
      </c>
      <c r="E200" t="s">
        <v>204</v>
      </c>
    </row>
    <row r="201" spans="1:5" ht="15" customHeight="1" x14ac:dyDescent="0.25">
      <c r="A201">
        <v>2018</v>
      </c>
      <c r="B201">
        <v>2.5</v>
      </c>
      <c r="C201">
        <v>0.57999999999999996</v>
      </c>
      <c r="D201">
        <v>1.9</v>
      </c>
      <c r="E201">
        <v>2.9</v>
      </c>
    </row>
    <row r="202" spans="1:5" ht="15" customHeight="1" x14ac:dyDescent="0.25">
      <c r="A202">
        <v>2019</v>
      </c>
      <c r="B202">
        <v>1.8</v>
      </c>
      <c r="C202">
        <v>0.75</v>
      </c>
      <c r="D202">
        <v>2</v>
      </c>
      <c r="E202">
        <v>3.4</v>
      </c>
    </row>
    <row r="203" spans="1:5" ht="15" customHeight="1" x14ac:dyDescent="0.25">
      <c r="A203">
        <v>2020</v>
      </c>
      <c r="B203">
        <v>0.8</v>
      </c>
      <c r="C203">
        <v>0.26</v>
      </c>
      <c r="D203">
        <v>-3.3</v>
      </c>
      <c r="E203">
        <v>1.8</v>
      </c>
    </row>
    <row r="204" spans="1:5" ht="15" customHeight="1" x14ac:dyDescent="0.25">
      <c r="A204">
        <v>2021</v>
      </c>
      <c r="B204">
        <v>2.6</v>
      </c>
      <c r="C204">
        <v>0.1</v>
      </c>
      <c r="D204">
        <v>6.7</v>
      </c>
      <c r="E204">
        <v>6</v>
      </c>
    </row>
    <row r="205" spans="1:5" ht="15" customHeight="1" x14ac:dyDescent="0.25">
      <c r="A205">
        <v>2022</v>
      </c>
      <c r="B205">
        <v>9</v>
      </c>
      <c r="C205">
        <v>1.27</v>
      </c>
      <c r="D205">
        <v>-2.2000000000000002</v>
      </c>
      <c r="E205">
        <v>6.2</v>
      </c>
    </row>
    <row r="206" spans="1:5" ht="15" customHeight="1" x14ac:dyDescent="0.25">
      <c r="A206">
        <v>2023</v>
      </c>
      <c r="B206">
        <v>7.4</v>
      </c>
      <c r="C206">
        <v>4.58</v>
      </c>
      <c r="D206">
        <v>-4.3</v>
      </c>
      <c r="E206">
        <v>7.1</v>
      </c>
    </row>
    <row r="207" spans="1:5" ht="15" customHeight="1" x14ac:dyDescent="0.25">
      <c r="A207">
        <v>2024</v>
      </c>
      <c r="B207">
        <v>2.5</v>
      </c>
      <c r="C207">
        <v>5.12</v>
      </c>
      <c r="D207">
        <v>-1.4</v>
      </c>
      <c r="E207">
        <v>5.3</v>
      </c>
    </row>
    <row r="208" spans="1:5" ht="15" customHeight="1" x14ac:dyDescent="0.25">
      <c r="A208">
        <v>2025</v>
      </c>
      <c r="B208">
        <v>3.4</v>
      </c>
      <c r="C208">
        <v>4.3099999999999996</v>
      </c>
      <c r="D208">
        <v>-1</v>
      </c>
      <c r="E208">
        <v>4.8</v>
      </c>
    </row>
    <row r="209" spans="1:7" ht="15" customHeight="1" x14ac:dyDescent="0.25">
      <c r="A209">
        <v>2026</v>
      </c>
      <c r="B209">
        <v>3</v>
      </c>
      <c r="C209">
        <v>3.75</v>
      </c>
      <c r="D209">
        <v>1.1000000000000001</v>
      </c>
      <c r="E209">
        <v>4.0999999999999996</v>
      </c>
    </row>
    <row r="211" spans="1:7" ht="15" customHeight="1" x14ac:dyDescent="0.25">
      <c r="A211" t="s">
        <v>208</v>
      </c>
      <c r="B211" t="s">
        <v>212</v>
      </c>
      <c r="C211" t="s">
        <v>213</v>
      </c>
      <c r="D211" t="s">
        <v>214</v>
      </c>
      <c r="E211" t="s">
        <v>215</v>
      </c>
      <c r="F211" t="s">
        <v>216</v>
      </c>
      <c r="G211" t="s">
        <v>217</v>
      </c>
    </row>
    <row r="212" spans="1:7" ht="15" customHeight="1" x14ac:dyDescent="0.25">
      <c r="A212">
        <v>2018</v>
      </c>
      <c r="B212">
        <v>100.8</v>
      </c>
      <c r="C212">
        <v>103.3</v>
      </c>
      <c r="D212">
        <v>104.1</v>
      </c>
      <c r="E212">
        <v>100.5</v>
      </c>
      <c r="F212">
        <v>114.3</v>
      </c>
      <c r="G212">
        <v>78.3</v>
      </c>
    </row>
    <row r="213" spans="1:7" ht="15" customHeight="1" x14ac:dyDescent="0.25">
      <c r="A213">
        <v>2019</v>
      </c>
      <c r="B213">
        <v>103.9</v>
      </c>
      <c r="C213">
        <v>104.6</v>
      </c>
      <c r="D213">
        <v>105.4</v>
      </c>
      <c r="E213">
        <v>103</v>
      </c>
      <c r="F213">
        <v>111</v>
      </c>
      <c r="G213">
        <v>89.5</v>
      </c>
    </row>
    <row r="214" spans="1:7" ht="15" customHeight="1" x14ac:dyDescent="0.25">
      <c r="A214">
        <v>2020</v>
      </c>
      <c r="B214">
        <v>102.4</v>
      </c>
      <c r="C214">
        <v>109.5</v>
      </c>
      <c r="D214">
        <v>92.9</v>
      </c>
      <c r="E214">
        <v>76.400000000000006</v>
      </c>
      <c r="F214">
        <v>110.3</v>
      </c>
      <c r="G214">
        <v>119.8</v>
      </c>
    </row>
    <row r="215" spans="1:7" ht="15" customHeight="1" x14ac:dyDescent="0.25">
      <c r="A215">
        <v>2021</v>
      </c>
      <c r="B215">
        <v>107.5</v>
      </c>
      <c r="C215">
        <v>109.9</v>
      </c>
      <c r="D215">
        <v>101.9</v>
      </c>
      <c r="E215">
        <v>88.3</v>
      </c>
      <c r="F215">
        <v>117.8</v>
      </c>
      <c r="G215">
        <v>121.6</v>
      </c>
    </row>
    <row r="216" spans="1:7" ht="15" customHeight="1" x14ac:dyDescent="0.25">
      <c r="A216">
        <v>2022</v>
      </c>
      <c r="B216">
        <v>103.3</v>
      </c>
      <c r="C216">
        <v>103.4</v>
      </c>
      <c r="D216">
        <v>103.1</v>
      </c>
      <c r="E216">
        <v>99.5</v>
      </c>
      <c r="F216">
        <v>105.6</v>
      </c>
      <c r="G216">
        <v>103.3</v>
      </c>
    </row>
    <row r="217" spans="1:7" ht="15" customHeight="1" x14ac:dyDescent="0.25">
      <c r="A217">
        <v>2023</v>
      </c>
      <c r="B217">
        <v>100.1</v>
      </c>
      <c r="C217">
        <v>100.1</v>
      </c>
      <c r="D217">
        <v>100.1</v>
      </c>
      <c r="E217">
        <v>100.1</v>
      </c>
      <c r="F217">
        <v>100</v>
      </c>
      <c r="G217">
        <v>100.1</v>
      </c>
    </row>
    <row r="218" spans="1:7" ht="15" customHeight="1" x14ac:dyDescent="0.25">
      <c r="A218">
        <v>2024</v>
      </c>
      <c r="B218">
        <v>100.2</v>
      </c>
      <c r="C218">
        <v>98.5</v>
      </c>
      <c r="D218">
        <v>100.7</v>
      </c>
      <c r="E218">
        <v>96</v>
      </c>
      <c r="F218">
        <v>96.5</v>
      </c>
      <c r="G218">
        <v>102.2</v>
      </c>
    </row>
    <row r="219" spans="1:7" ht="15" customHeight="1" x14ac:dyDescent="0.25">
      <c r="A219">
        <v>2025</v>
      </c>
      <c r="B219">
        <v>101.5</v>
      </c>
      <c r="C219">
        <v>99</v>
      </c>
      <c r="D219">
        <v>102.9</v>
      </c>
      <c r="E219">
        <v>98.4</v>
      </c>
      <c r="F219">
        <v>99.9</v>
      </c>
      <c r="G219">
        <v>106.1</v>
      </c>
    </row>
    <row r="220" spans="1:7" ht="15" customHeight="1" x14ac:dyDescent="0.25">
      <c r="A220">
        <v>2026</v>
      </c>
      <c r="B220">
        <v>102.9</v>
      </c>
      <c r="C220">
        <v>98.9</v>
      </c>
      <c r="D220">
        <v>105.8</v>
      </c>
      <c r="E220">
        <v>100.1</v>
      </c>
      <c r="F220">
        <v>101.3</v>
      </c>
      <c r="G220">
        <v>110.9</v>
      </c>
    </row>
    <row r="222" spans="1:7" ht="15" customHeight="1" x14ac:dyDescent="0.25">
      <c r="A222" t="s">
        <v>192</v>
      </c>
      <c r="B222" t="s">
        <v>203</v>
      </c>
      <c r="C222" t="s">
        <v>199</v>
      </c>
      <c r="D222" t="s">
        <v>218</v>
      </c>
    </row>
    <row r="223" spans="1:7" ht="15" customHeight="1" x14ac:dyDescent="0.25">
      <c r="A223" t="s">
        <v>83</v>
      </c>
      <c r="B223">
        <v>0.5</v>
      </c>
      <c r="C223">
        <v>4.5999999999999996</v>
      </c>
      <c r="D223">
        <v>1.6</v>
      </c>
    </row>
    <row r="224" spans="1:7" ht="15" customHeight="1" x14ac:dyDescent="0.25">
      <c r="A224" t="s">
        <v>84</v>
      </c>
      <c r="B224">
        <v>0.5</v>
      </c>
      <c r="C224">
        <v>4.2</v>
      </c>
      <c r="D224">
        <v>1.5</v>
      </c>
    </row>
    <row r="225" spans="1:4" ht="15" customHeight="1" x14ac:dyDescent="0.25">
      <c r="A225" t="s">
        <v>85</v>
      </c>
      <c r="B225">
        <v>0.5</v>
      </c>
      <c r="C225">
        <v>2.6</v>
      </c>
      <c r="D225">
        <v>0.1</v>
      </c>
    </row>
    <row r="226" spans="1:4" ht="15" customHeight="1" x14ac:dyDescent="0.25">
      <c r="A226" t="s">
        <v>86</v>
      </c>
      <c r="B226">
        <v>0.5</v>
      </c>
      <c r="C226">
        <v>2.7</v>
      </c>
      <c r="D226">
        <v>0.3</v>
      </c>
    </row>
    <row r="227" spans="1:4" ht="15" customHeight="1" x14ac:dyDescent="0.25">
      <c r="A227" t="s">
        <v>87</v>
      </c>
      <c r="B227">
        <v>0.5</v>
      </c>
      <c r="C227">
        <v>6.4</v>
      </c>
      <c r="D227">
        <v>4</v>
      </c>
    </row>
    <row r="228" spans="1:4" ht="15" customHeight="1" x14ac:dyDescent="0.25">
      <c r="A228" t="s">
        <v>88</v>
      </c>
      <c r="B228">
        <v>0.5</v>
      </c>
      <c r="C228">
        <v>5.0999999999999996</v>
      </c>
      <c r="D228">
        <v>2.7</v>
      </c>
    </row>
    <row r="229" spans="1:4" ht="15" customHeight="1" x14ac:dyDescent="0.25">
      <c r="A229" t="s">
        <v>89</v>
      </c>
      <c r="B229">
        <v>0.5</v>
      </c>
      <c r="C229">
        <v>5.9</v>
      </c>
      <c r="D229">
        <v>3.4</v>
      </c>
    </row>
    <row r="230" spans="1:4" ht="15" customHeight="1" x14ac:dyDescent="0.25">
      <c r="A230" t="s">
        <v>90</v>
      </c>
      <c r="B230">
        <v>0.5</v>
      </c>
      <c r="C230">
        <v>5.2</v>
      </c>
      <c r="D230">
        <v>2.5</v>
      </c>
    </row>
    <row r="231" spans="1:4" ht="15" customHeight="1" x14ac:dyDescent="0.25">
      <c r="A231" t="s">
        <v>91</v>
      </c>
      <c r="B231">
        <v>0.75</v>
      </c>
      <c r="C231">
        <v>4.5999999999999996</v>
      </c>
      <c r="D231">
        <v>2.2000000000000002</v>
      </c>
    </row>
    <row r="232" spans="1:4" ht="15" customHeight="1" x14ac:dyDescent="0.25">
      <c r="A232" t="s">
        <v>92</v>
      </c>
      <c r="B232">
        <v>0.75</v>
      </c>
      <c r="C232">
        <v>3.7</v>
      </c>
      <c r="D232">
        <v>1.3</v>
      </c>
    </row>
    <row r="233" spans="1:4" ht="15" customHeight="1" x14ac:dyDescent="0.25">
      <c r="A233" t="s">
        <v>93</v>
      </c>
      <c r="B233">
        <v>0.75</v>
      </c>
      <c r="C233">
        <v>4.4000000000000004</v>
      </c>
      <c r="D233">
        <v>2.1</v>
      </c>
    </row>
    <row r="234" spans="1:4" ht="15" customHeight="1" x14ac:dyDescent="0.25">
      <c r="A234" t="s">
        <v>94</v>
      </c>
      <c r="B234">
        <v>0.75</v>
      </c>
      <c r="C234">
        <v>3.7</v>
      </c>
      <c r="D234">
        <v>1.6</v>
      </c>
    </row>
    <row r="235" spans="1:4" ht="15" customHeight="1" x14ac:dyDescent="0.25">
      <c r="A235" t="s">
        <v>95</v>
      </c>
      <c r="B235">
        <v>0.75</v>
      </c>
      <c r="C235">
        <v>4.3</v>
      </c>
      <c r="D235">
        <v>2.5</v>
      </c>
    </row>
    <row r="236" spans="1:4" ht="15" customHeight="1" x14ac:dyDescent="0.25">
      <c r="A236" t="s">
        <v>96</v>
      </c>
      <c r="B236">
        <v>0.75</v>
      </c>
      <c r="C236">
        <v>4.4000000000000004</v>
      </c>
      <c r="D236">
        <v>2.5</v>
      </c>
    </row>
    <row r="237" spans="1:4" ht="15" customHeight="1" x14ac:dyDescent="0.25">
      <c r="A237" t="s">
        <v>97</v>
      </c>
      <c r="B237">
        <v>0.75</v>
      </c>
      <c r="C237">
        <v>7.1</v>
      </c>
      <c r="D237">
        <v>5.2</v>
      </c>
    </row>
    <row r="238" spans="1:4" ht="15" customHeight="1" x14ac:dyDescent="0.25">
      <c r="A238" t="s">
        <v>98</v>
      </c>
      <c r="B238">
        <v>0.75</v>
      </c>
      <c r="C238">
        <v>4.9000000000000004</v>
      </c>
      <c r="D238">
        <v>2.8</v>
      </c>
    </row>
    <row r="239" spans="1:4" ht="15" customHeight="1" x14ac:dyDescent="0.25">
      <c r="A239" t="s">
        <v>99</v>
      </c>
      <c r="B239">
        <v>0.75</v>
      </c>
      <c r="C239">
        <v>2.2999999999999998</v>
      </c>
      <c r="D239">
        <v>0.3</v>
      </c>
    </row>
    <row r="240" spans="1:4" ht="15" customHeight="1" x14ac:dyDescent="0.25">
      <c r="A240" t="s">
        <v>100</v>
      </c>
      <c r="B240">
        <v>0.75</v>
      </c>
      <c r="C240">
        <v>4.0999999999999996</v>
      </c>
      <c r="D240">
        <v>2.1</v>
      </c>
    </row>
    <row r="241" spans="1:4" ht="15" customHeight="1" x14ac:dyDescent="0.25">
      <c r="A241" t="s">
        <v>101</v>
      </c>
      <c r="B241">
        <v>0.75</v>
      </c>
      <c r="C241">
        <v>4.4000000000000004</v>
      </c>
      <c r="D241">
        <v>2.2999999999999998</v>
      </c>
    </row>
    <row r="242" spans="1:4" ht="15" customHeight="1" x14ac:dyDescent="0.25">
      <c r="A242" t="s">
        <v>102</v>
      </c>
      <c r="B242">
        <v>0.75</v>
      </c>
      <c r="C242">
        <v>3.1</v>
      </c>
      <c r="D242">
        <v>1.4</v>
      </c>
    </row>
    <row r="243" spans="1:4" ht="15" customHeight="1" x14ac:dyDescent="0.25">
      <c r="A243" t="s">
        <v>103</v>
      </c>
      <c r="B243">
        <v>0.75</v>
      </c>
      <c r="C243">
        <v>3.2</v>
      </c>
      <c r="D243">
        <v>1.5</v>
      </c>
    </row>
    <row r="244" spans="1:4" ht="15" customHeight="1" x14ac:dyDescent="0.25">
      <c r="A244" t="s">
        <v>104</v>
      </c>
      <c r="B244">
        <v>0.75</v>
      </c>
      <c r="C244">
        <v>3.1</v>
      </c>
      <c r="D244">
        <v>1.6</v>
      </c>
    </row>
    <row r="245" spans="1:4" ht="15" customHeight="1" x14ac:dyDescent="0.25">
      <c r="A245" t="s">
        <v>105</v>
      </c>
      <c r="B245">
        <v>0.75</v>
      </c>
      <c r="C245">
        <v>1.4</v>
      </c>
      <c r="D245">
        <v>-0.1</v>
      </c>
    </row>
    <row r="246" spans="1:4" ht="15" customHeight="1" x14ac:dyDescent="0.25">
      <c r="A246" t="s">
        <v>106</v>
      </c>
      <c r="B246">
        <v>0.75</v>
      </c>
      <c r="C246">
        <v>2.7</v>
      </c>
      <c r="D246">
        <v>1.4</v>
      </c>
    </row>
    <row r="247" spans="1:4" ht="15" customHeight="1" x14ac:dyDescent="0.25">
      <c r="A247" t="s">
        <v>107</v>
      </c>
      <c r="B247">
        <v>0.75</v>
      </c>
      <c r="C247">
        <v>3</v>
      </c>
      <c r="D247">
        <v>1.2</v>
      </c>
    </row>
    <row r="248" spans="1:4" ht="15" customHeight="1" x14ac:dyDescent="0.25">
      <c r="A248" t="s">
        <v>108</v>
      </c>
      <c r="B248">
        <v>0.75</v>
      </c>
      <c r="C248">
        <v>1.4</v>
      </c>
      <c r="D248">
        <v>-0.3</v>
      </c>
    </row>
    <row r="249" spans="1:4" ht="15" customHeight="1" x14ac:dyDescent="0.25">
      <c r="A249" t="s">
        <v>109</v>
      </c>
      <c r="B249">
        <v>0.75</v>
      </c>
      <c r="C249">
        <v>-6.6</v>
      </c>
      <c r="D249">
        <v>-8.1</v>
      </c>
    </row>
    <row r="250" spans="1:4" ht="15" customHeight="1" x14ac:dyDescent="0.25">
      <c r="A250" t="s">
        <v>110</v>
      </c>
      <c r="B250">
        <v>0.1</v>
      </c>
      <c r="C250">
        <v>-24</v>
      </c>
      <c r="D250">
        <v>-24.8</v>
      </c>
    </row>
    <row r="251" spans="1:4" ht="15" customHeight="1" x14ac:dyDescent="0.25">
      <c r="A251" t="s">
        <v>111</v>
      </c>
      <c r="B251">
        <v>0.1</v>
      </c>
      <c r="C251">
        <v>-13.5</v>
      </c>
      <c r="D251">
        <v>-14</v>
      </c>
    </row>
    <row r="252" spans="1:4" ht="15" customHeight="1" x14ac:dyDescent="0.25">
      <c r="A252" t="s">
        <v>112</v>
      </c>
      <c r="B252">
        <v>0.1</v>
      </c>
      <c r="C252">
        <v>-3.8</v>
      </c>
      <c r="D252">
        <v>-4.4000000000000004</v>
      </c>
    </row>
    <row r="253" spans="1:4" ht="15" customHeight="1" x14ac:dyDescent="0.25">
      <c r="A253" t="s">
        <v>113</v>
      </c>
      <c r="B253">
        <v>0.1</v>
      </c>
      <c r="C253">
        <v>0.4</v>
      </c>
      <c r="D253">
        <v>-0.6</v>
      </c>
    </row>
    <row r="254" spans="1:4" ht="15" customHeight="1" x14ac:dyDescent="0.25">
      <c r="A254" t="s">
        <v>114</v>
      </c>
      <c r="B254">
        <v>0.1</v>
      </c>
      <c r="C254">
        <v>2.2000000000000002</v>
      </c>
      <c r="D254">
        <v>2</v>
      </c>
    </row>
    <row r="255" spans="1:4" ht="15" customHeight="1" x14ac:dyDescent="0.25">
      <c r="A255" t="s">
        <v>115</v>
      </c>
      <c r="B255">
        <v>0.1</v>
      </c>
      <c r="C255">
        <v>3.8</v>
      </c>
      <c r="D255">
        <v>3.3</v>
      </c>
    </row>
    <row r="256" spans="1:4" ht="15" customHeight="1" x14ac:dyDescent="0.25">
      <c r="A256" t="s">
        <v>116</v>
      </c>
      <c r="B256">
        <v>0.1</v>
      </c>
      <c r="C256">
        <v>5.7</v>
      </c>
      <c r="D256">
        <v>5</v>
      </c>
    </row>
    <row r="257" spans="1:4" ht="15" customHeight="1" x14ac:dyDescent="0.25">
      <c r="A257" t="s">
        <v>117</v>
      </c>
      <c r="B257">
        <v>0.1</v>
      </c>
      <c r="C257">
        <v>0.6</v>
      </c>
      <c r="D257">
        <v>0.3</v>
      </c>
    </row>
    <row r="258" spans="1:4" ht="15" customHeight="1" x14ac:dyDescent="0.25">
      <c r="A258" t="s">
        <v>118</v>
      </c>
      <c r="B258">
        <v>0.1</v>
      </c>
      <c r="C258">
        <v>1.2</v>
      </c>
      <c r="D258">
        <v>0.6</v>
      </c>
    </row>
    <row r="259" spans="1:4" ht="15" customHeight="1" x14ac:dyDescent="0.25">
      <c r="A259" t="s">
        <v>119</v>
      </c>
      <c r="B259">
        <v>0.1</v>
      </c>
      <c r="C259">
        <v>-6.1</v>
      </c>
      <c r="D259">
        <v>-6.8</v>
      </c>
    </row>
    <row r="260" spans="1:4" ht="15" customHeight="1" x14ac:dyDescent="0.25">
      <c r="A260" t="s">
        <v>120</v>
      </c>
      <c r="B260">
        <v>0.1</v>
      </c>
      <c r="C260">
        <v>-4.3</v>
      </c>
      <c r="D260">
        <v>-4.7</v>
      </c>
    </row>
    <row r="261" spans="1:4" ht="15" customHeight="1" x14ac:dyDescent="0.25">
      <c r="A261" t="s">
        <v>121</v>
      </c>
      <c r="B261">
        <v>0.1</v>
      </c>
      <c r="C261">
        <v>7</v>
      </c>
      <c r="D261">
        <v>6.3</v>
      </c>
    </row>
    <row r="262" spans="1:4" ht="15" customHeight="1" x14ac:dyDescent="0.25">
      <c r="A262" t="s">
        <v>122</v>
      </c>
      <c r="B262">
        <v>0.1</v>
      </c>
      <c r="C262">
        <v>43.4</v>
      </c>
      <c r="D262">
        <v>41.9</v>
      </c>
    </row>
    <row r="263" spans="1:4" ht="15" customHeight="1" x14ac:dyDescent="0.25">
      <c r="A263" t="s">
        <v>123</v>
      </c>
      <c r="B263">
        <v>0.1</v>
      </c>
      <c r="C263">
        <v>25.2</v>
      </c>
      <c r="D263">
        <v>23.1</v>
      </c>
    </row>
    <row r="264" spans="1:4" ht="15" customHeight="1" x14ac:dyDescent="0.25">
      <c r="A264" t="s">
        <v>124</v>
      </c>
      <c r="B264">
        <v>0.1</v>
      </c>
      <c r="C264">
        <v>12.8</v>
      </c>
      <c r="D264">
        <v>10.3</v>
      </c>
    </row>
    <row r="265" spans="1:4" ht="15" customHeight="1" x14ac:dyDescent="0.25">
      <c r="A265" t="s">
        <v>125</v>
      </c>
      <c r="B265">
        <v>0.1</v>
      </c>
      <c r="C265">
        <v>5</v>
      </c>
      <c r="D265">
        <v>3</v>
      </c>
    </row>
    <row r="266" spans="1:4" ht="15" customHeight="1" x14ac:dyDescent="0.25">
      <c r="A266" t="s">
        <v>126</v>
      </c>
      <c r="B266">
        <v>0.1</v>
      </c>
      <c r="C266">
        <v>4.3</v>
      </c>
      <c r="D266">
        <v>1.1000000000000001</v>
      </c>
    </row>
    <row r="267" spans="1:4" ht="15" customHeight="1" x14ac:dyDescent="0.25">
      <c r="A267" t="s">
        <v>127</v>
      </c>
      <c r="B267">
        <v>0.1</v>
      </c>
      <c r="C267">
        <v>3.2</v>
      </c>
      <c r="D267">
        <v>0.1</v>
      </c>
    </row>
    <row r="268" spans="1:4" ht="15" customHeight="1" x14ac:dyDescent="0.25">
      <c r="A268" t="s">
        <v>128</v>
      </c>
      <c r="B268">
        <v>0.1</v>
      </c>
      <c r="C268">
        <v>2.6</v>
      </c>
      <c r="D268">
        <v>-1.6</v>
      </c>
    </row>
    <row r="269" spans="1:4" ht="15" customHeight="1" x14ac:dyDescent="0.25">
      <c r="A269" t="s">
        <v>129</v>
      </c>
      <c r="B269">
        <v>0.1</v>
      </c>
      <c r="C269">
        <v>9.4</v>
      </c>
      <c r="D269">
        <v>4.3</v>
      </c>
    </row>
    <row r="270" spans="1:4" ht="15" customHeight="1" x14ac:dyDescent="0.25">
      <c r="A270" t="s">
        <v>130</v>
      </c>
      <c r="B270">
        <v>0.1</v>
      </c>
      <c r="C270">
        <v>8.4</v>
      </c>
      <c r="D270">
        <v>3</v>
      </c>
    </row>
    <row r="271" spans="1:4" ht="15" customHeight="1" x14ac:dyDescent="0.25">
      <c r="A271" t="s">
        <v>131</v>
      </c>
      <c r="B271">
        <v>0.25</v>
      </c>
      <c r="C271">
        <v>16.399999999999999</v>
      </c>
      <c r="D271">
        <v>10.9</v>
      </c>
    </row>
    <row r="272" spans="1:4" ht="15" customHeight="1" x14ac:dyDescent="0.25">
      <c r="A272" t="s">
        <v>132</v>
      </c>
      <c r="B272">
        <v>0.25</v>
      </c>
      <c r="C272">
        <v>15.1</v>
      </c>
      <c r="D272">
        <v>8.9</v>
      </c>
    </row>
    <row r="273" spans="1:4" ht="15" customHeight="1" x14ac:dyDescent="0.25">
      <c r="A273" t="s">
        <v>133</v>
      </c>
      <c r="B273">
        <v>0.5</v>
      </c>
      <c r="C273">
        <v>11.8</v>
      </c>
      <c r="D273">
        <v>4.8</v>
      </c>
    </row>
    <row r="274" spans="1:4" ht="15" customHeight="1" x14ac:dyDescent="0.25">
      <c r="A274" t="s">
        <v>134</v>
      </c>
      <c r="B274">
        <v>0.75</v>
      </c>
      <c r="C274">
        <v>2.8</v>
      </c>
      <c r="D274">
        <v>-6.2</v>
      </c>
    </row>
    <row r="275" spans="1:4" ht="15" customHeight="1" x14ac:dyDescent="0.25">
      <c r="A275" t="s">
        <v>135</v>
      </c>
      <c r="B275">
        <v>0.75</v>
      </c>
      <c r="C275">
        <v>3.9</v>
      </c>
      <c r="D275">
        <v>-5.2</v>
      </c>
    </row>
    <row r="276" spans="1:4" ht="15" customHeight="1" x14ac:dyDescent="0.25">
      <c r="A276" t="s">
        <v>136</v>
      </c>
      <c r="B276">
        <v>1</v>
      </c>
      <c r="C276">
        <v>3.9</v>
      </c>
      <c r="D276">
        <v>-5.5</v>
      </c>
    </row>
    <row r="277" spans="1:4" ht="15" customHeight="1" x14ac:dyDescent="0.25">
      <c r="A277" t="s">
        <v>137</v>
      </c>
      <c r="B277">
        <v>1.25</v>
      </c>
      <c r="C277">
        <v>7.6</v>
      </c>
      <c r="D277">
        <v>-2.5</v>
      </c>
    </row>
    <row r="278" spans="1:4" ht="15" customHeight="1" x14ac:dyDescent="0.25">
      <c r="A278" t="s">
        <v>138</v>
      </c>
      <c r="B278">
        <v>1.25</v>
      </c>
      <c r="C278">
        <v>4.7</v>
      </c>
      <c r="D278">
        <v>-5.2</v>
      </c>
    </row>
    <row r="279" spans="1:4" ht="15" customHeight="1" x14ac:dyDescent="0.25">
      <c r="A279" t="s">
        <v>139</v>
      </c>
      <c r="B279">
        <v>1.75</v>
      </c>
      <c r="C279">
        <v>3.8</v>
      </c>
      <c r="D279">
        <v>-6.3</v>
      </c>
    </row>
    <row r="280" spans="1:4" ht="15" customHeight="1" x14ac:dyDescent="0.25">
      <c r="A280" t="s">
        <v>140</v>
      </c>
      <c r="B280">
        <v>2.25</v>
      </c>
      <c r="C280">
        <v>5.2</v>
      </c>
      <c r="D280">
        <v>-5.9</v>
      </c>
    </row>
    <row r="281" spans="1:4" ht="15" customHeight="1" x14ac:dyDescent="0.25">
      <c r="A281" t="s">
        <v>141</v>
      </c>
      <c r="B281">
        <v>2.25</v>
      </c>
      <c r="C281">
        <v>3.7</v>
      </c>
      <c r="D281">
        <v>-7</v>
      </c>
    </row>
    <row r="282" spans="1:4" ht="15" customHeight="1" x14ac:dyDescent="0.25">
      <c r="A282" t="s">
        <v>142</v>
      </c>
      <c r="B282">
        <v>3</v>
      </c>
      <c r="C282">
        <v>2.9</v>
      </c>
      <c r="D282">
        <v>-7.6</v>
      </c>
    </row>
    <row r="283" spans="1:4" ht="15" customHeight="1" x14ac:dyDescent="0.25">
      <c r="A283" t="s">
        <v>143</v>
      </c>
      <c r="B283">
        <v>3.5</v>
      </c>
      <c r="C283">
        <v>3.4</v>
      </c>
      <c r="D283">
        <v>-6.7</v>
      </c>
    </row>
    <row r="284" spans="1:4" ht="15" customHeight="1" x14ac:dyDescent="0.25">
      <c r="A284" t="s">
        <v>144</v>
      </c>
      <c r="B284">
        <v>3.5</v>
      </c>
      <c r="C284">
        <v>4.9000000000000004</v>
      </c>
      <c r="D284">
        <v>-5.5</v>
      </c>
    </row>
    <row r="285" spans="1:4" ht="15" customHeight="1" x14ac:dyDescent="0.25">
      <c r="A285" t="s">
        <v>145</v>
      </c>
      <c r="B285">
        <v>4</v>
      </c>
      <c r="C285">
        <v>2.8</v>
      </c>
      <c r="D285">
        <v>-7.3</v>
      </c>
    </row>
    <row r="286" spans="1:4" ht="15" customHeight="1" x14ac:dyDescent="0.25">
      <c r="A286" t="s">
        <v>146</v>
      </c>
      <c r="B286">
        <v>4.25</v>
      </c>
      <c r="C286">
        <v>4.7</v>
      </c>
      <c r="D286">
        <v>-4</v>
      </c>
    </row>
    <row r="287" spans="1:4" ht="15" customHeight="1" x14ac:dyDescent="0.25">
      <c r="A287" t="s">
        <v>147</v>
      </c>
      <c r="B287">
        <v>4.25</v>
      </c>
      <c r="C287">
        <v>4.3</v>
      </c>
      <c r="D287">
        <v>-4.4000000000000004</v>
      </c>
    </row>
    <row r="288" spans="1:4" ht="15" customHeight="1" x14ac:dyDescent="0.25">
      <c r="A288" t="s">
        <v>148</v>
      </c>
      <c r="B288">
        <v>4.5</v>
      </c>
      <c r="C288">
        <v>3.3</v>
      </c>
      <c r="D288">
        <v>-4.5999999999999996</v>
      </c>
    </row>
    <row r="289" spans="1:4" ht="15" customHeight="1" x14ac:dyDescent="0.25">
      <c r="A289" t="s">
        <v>149</v>
      </c>
      <c r="B289">
        <v>5</v>
      </c>
      <c r="C289">
        <v>0.7</v>
      </c>
      <c r="D289">
        <v>-6.1</v>
      </c>
    </row>
    <row r="290" spans="1:4" ht="15" customHeight="1" x14ac:dyDescent="0.25">
      <c r="A290" t="s">
        <v>150</v>
      </c>
      <c r="B290">
        <v>5</v>
      </c>
      <c r="C290">
        <v>3.6</v>
      </c>
      <c r="D290">
        <v>-3.1</v>
      </c>
    </row>
    <row r="291" spans="1:4" ht="15" customHeight="1" x14ac:dyDescent="0.25">
      <c r="A291" t="s">
        <v>151</v>
      </c>
      <c r="B291">
        <v>5.25</v>
      </c>
      <c r="C291">
        <v>3.8</v>
      </c>
      <c r="D291">
        <v>-2.9</v>
      </c>
    </row>
    <row r="292" spans="1:4" ht="15" customHeight="1" x14ac:dyDescent="0.25">
      <c r="A292" t="s">
        <v>152</v>
      </c>
      <c r="B292">
        <v>5.25</v>
      </c>
      <c r="C292">
        <v>2.4</v>
      </c>
      <c r="D292">
        <v>-2.2000000000000002</v>
      </c>
    </row>
    <row r="293" spans="1:4" ht="15" customHeight="1" x14ac:dyDescent="0.25">
      <c r="A293" t="s">
        <v>153</v>
      </c>
      <c r="B293">
        <v>5.25</v>
      </c>
      <c r="C293">
        <v>3.9</v>
      </c>
      <c r="D293">
        <v>0</v>
      </c>
    </row>
    <row r="294" spans="1:4" ht="15" customHeight="1" x14ac:dyDescent="0.25">
      <c r="A294" t="s">
        <v>154</v>
      </c>
      <c r="B294">
        <v>5.25</v>
      </c>
      <c r="C294">
        <v>-0.2</v>
      </c>
      <c r="D294">
        <v>-4.2</v>
      </c>
    </row>
    <row r="295" spans="1:4" ht="15" customHeight="1" x14ac:dyDescent="0.25">
      <c r="A295" t="s">
        <v>155</v>
      </c>
      <c r="B295">
        <v>5.25</v>
      </c>
      <c r="C295">
        <v>2.7</v>
      </c>
      <c r="D295">
        <v>-1.3</v>
      </c>
    </row>
    <row r="296" spans="1:4" ht="15" customHeight="1" x14ac:dyDescent="0.25">
      <c r="A296" t="s">
        <v>156</v>
      </c>
      <c r="B296">
        <v>5.25</v>
      </c>
      <c r="C296">
        <v>1.6</v>
      </c>
      <c r="D296">
        <v>-1.8</v>
      </c>
    </row>
    <row r="297" spans="1:4" ht="15" customHeight="1" x14ac:dyDescent="0.25">
      <c r="A297" t="s">
        <v>157</v>
      </c>
      <c r="B297">
        <v>5.25</v>
      </c>
      <c r="C297">
        <v>2.1</v>
      </c>
      <c r="D297">
        <v>-1.1000000000000001</v>
      </c>
    </row>
    <row r="298" spans="1:4" ht="15" customHeight="1" x14ac:dyDescent="0.25">
      <c r="A298" t="s">
        <v>158</v>
      </c>
      <c r="B298">
        <v>5.25</v>
      </c>
      <c r="C298">
        <v>-1</v>
      </c>
      <c r="D298">
        <v>-3.3</v>
      </c>
    </row>
    <row r="299" spans="1:4" ht="15" customHeight="1" x14ac:dyDescent="0.25">
      <c r="A299" t="s">
        <v>159</v>
      </c>
      <c r="B299">
        <v>5.25</v>
      </c>
      <c r="C299">
        <v>2.2000000000000002</v>
      </c>
      <c r="D299">
        <v>0.2</v>
      </c>
    </row>
    <row r="300" spans="1:4" ht="15" customHeight="1" x14ac:dyDescent="0.25">
      <c r="A300" t="s">
        <v>160</v>
      </c>
      <c r="B300">
        <v>5.25</v>
      </c>
      <c r="C300">
        <v>-0.3</v>
      </c>
      <c r="D300">
        <v>-2.2999999999999998</v>
      </c>
    </row>
    <row r="301" spans="1:4" ht="15" customHeight="1" x14ac:dyDescent="0.25">
      <c r="A301" t="s">
        <v>161</v>
      </c>
      <c r="B301">
        <v>5.25</v>
      </c>
      <c r="C301">
        <v>1.6</v>
      </c>
      <c r="D301">
        <v>-0.6</v>
      </c>
    </row>
    <row r="302" spans="1:4" ht="15" customHeight="1" x14ac:dyDescent="0.25">
      <c r="A302" t="s">
        <v>162</v>
      </c>
      <c r="B302">
        <v>5</v>
      </c>
      <c r="C302">
        <v>1.1000000000000001</v>
      </c>
      <c r="D302">
        <v>-1.1000000000000001</v>
      </c>
    </row>
    <row r="303" spans="1:4" ht="15" customHeight="1" x14ac:dyDescent="0.25">
      <c r="A303" t="s">
        <v>163</v>
      </c>
      <c r="B303">
        <v>5</v>
      </c>
      <c r="C303">
        <v>1.2</v>
      </c>
      <c r="D303">
        <v>-0.5</v>
      </c>
    </row>
    <row r="304" spans="1:4" ht="15" customHeight="1" x14ac:dyDescent="0.25">
      <c r="A304" t="s">
        <v>164</v>
      </c>
      <c r="B304">
        <v>5</v>
      </c>
      <c r="C304">
        <v>-0.3</v>
      </c>
      <c r="D304">
        <v>-2.6</v>
      </c>
    </row>
    <row r="305" spans="1:4" ht="15" customHeight="1" x14ac:dyDescent="0.25">
      <c r="A305" t="s">
        <v>165</v>
      </c>
      <c r="B305">
        <v>5</v>
      </c>
      <c r="C305">
        <v>-1.1000000000000001</v>
      </c>
      <c r="D305">
        <v>-3.7</v>
      </c>
    </row>
    <row r="306" spans="1:4" ht="15" customHeight="1" x14ac:dyDescent="0.25">
      <c r="A306" t="s">
        <v>166</v>
      </c>
      <c r="B306">
        <v>4.75</v>
      </c>
      <c r="C306">
        <v>3.4</v>
      </c>
      <c r="D306">
        <v>0.9</v>
      </c>
    </row>
    <row r="307" spans="1:4" ht="15" customHeight="1" x14ac:dyDescent="0.25">
      <c r="A307" t="s">
        <v>167</v>
      </c>
      <c r="B307">
        <v>4.75</v>
      </c>
      <c r="C307">
        <v>-0.1</v>
      </c>
      <c r="D307">
        <v>-3.1</v>
      </c>
    </row>
    <row r="308" spans="1:4" ht="15" customHeight="1" x14ac:dyDescent="0.25">
      <c r="A308" t="s">
        <v>168</v>
      </c>
      <c r="B308">
        <v>4.75</v>
      </c>
      <c r="C308">
        <v>1.7</v>
      </c>
      <c r="D308">
        <v>-1.1000000000000001</v>
      </c>
    </row>
    <row r="309" spans="1:4" ht="15" customHeight="1" x14ac:dyDescent="0.25">
      <c r="A309" t="s">
        <v>169</v>
      </c>
      <c r="B309">
        <v>4.5</v>
      </c>
      <c r="C309">
        <v>2.6</v>
      </c>
      <c r="D309">
        <v>0</v>
      </c>
    </row>
    <row r="310" spans="1:4" ht="15" customHeight="1" x14ac:dyDescent="0.25">
      <c r="A310" t="s">
        <v>170</v>
      </c>
      <c r="B310">
        <v>4.5</v>
      </c>
      <c r="C310">
        <v>3.4</v>
      </c>
      <c r="D310">
        <v>-0.1</v>
      </c>
    </row>
    <row r="311" spans="1:4" ht="15" customHeight="1" x14ac:dyDescent="0.25">
      <c r="A311" t="s">
        <v>171</v>
      </c>
      <c r="B311">
        <v>4.5</v>
      </c>
      <c r="C311">
        <v>-0.6</v>
      </c>
      <c r="D311">
        <v>-4</v>
      </c>
    </row>
    <row r="312" spans="1:4" ht="15" customHeight="1" x14ac:dyDescent="0.25">
      <c r="A312" t="s">
        <v>172</v>
      </c>
      <c r="B312">
        <v>4.25</v>
      </c>
      <c r="C312">
        <v>2</v>
      </c>
      <c r="D312">
        <v>-1.6</v>
      </c>
    </row>
    <row r="313" spans="1:4" ht="15" customHeight="1" x14ac:dyDescent="0.25">
      <c r="A313" t="s">
        <v>173</v>
      </c>
      <c r="B313">
        <v>4.25</v>
      </c>
      <c r="C313">
        <v>2.8</v>
      </c>
      <c r="D313">
        <v>-1</v>
      </c>
    </row>
    <row r="314" spans="1:4" ht="15" customHeight="1" x14ac:dyDescent="0.25">
      <c r="A314" t="s">
        <v>174</v>
      </c>
      <c r="B314">
        <v>4.25</v>
      </c>
      <c r="C314">
        <v>2.2999999999999998</v>
      </c>
      <c r="D314">
        <v>-1.5</v>
      </c>
    </row>
    <row r="315" spans="1:4" ht="15" customHeight="1" x14ac:dyDescent="0.25">
      <c r="A315" t="s">
        <v>175</v>
      </c>
      <c r="B315">
        <v>4</v>
      </c>
      <c r="C315">
        <v>3.7</v>
      </c>
      <c r="D315">
        <v>-0.1</v>
      </c>
    </row>
    <row r="316" spans="1:4" ht="15" customHeight="1" x14ac:dyDescent="0.25">
      <c r="A316" t="s">
        <v>176</v>
      </c>
      <c r="B316">
        <v>4</v>
      </c>
      <c r="C316">
        <v>4</v>
      </c>
      <c r="D316">
        <v>0.4</v>
      </c>
    </row>
    <row r="317" spans="1:4" ht="15" customHeight="1" x14ac:dyDescent="0.25">
      <c r="A317" t="s">
        <v>177</v>
      </c>
      <c r="B317">
        <v>4</v>
      </c>
      <c r="C317">
        <v>3.4</v>
      </c>
      <c r="D317">
        <v>0.2</v>
      </c>
    </row>
    <row r="318" spans="1:4" ht="15" customHeight="1" x14ac:dyDescent="0.25">
      <c r="A318" t="s">
        <v>178</v>
      </c>
      <c r="B318">
        <v>4</v>
      </c>
      <c r="C318">
        <v>3.3</v>
      </c>
      <c r="D318">
        <v>-0.1</v>
      </c>
    </row>
    <row r="319" spans="1:4" ht="15" customHeight="1" x14ac:dyDescent="0.25">
      <c r="A319" t="s">
        <v>179</v>
      </c>
      <c r="B319">
        <v>3.75</v>
      </c>
      <c r="C319">
        <v>5.5</v>
      </c>
      <c r="D319">
        <v>2.5</v>
      </c>
    </row>
    <row r="320" spans="1:4" ht="15" customHeight="1" x14ac:dyDescent="0.25">
      <c r="A320" t="s">
        <v>180</v>
      </c>
      <c r="B320">
        <v>3.75</v>
      </c>
      <c r="C320">
        <v>2.5</v>
      </c>
      <c r="D320">
        <v>-0.5</v>
      </c>
    </row>
    <row r="321" spans="1:4" ht="15" customHeight="1" x14ac:dyDescent="0.25">
      <c r="A321" t="s">
        <v>181</v>
      </c>
      <c r="B321">
        <v>3.75</v>
      </c>
      <c r="C321">
        <v>4.0999999999999996</v>
      </c>
      <c r="D321">
        <v>0.8</v>
      </c>
    </row>
    <row r="322" spans="1:4" ht="15" customHeight="1" x14ac:dyDescent="0.25">
      <c r="A322" t="s">
        <v>182</v>
      </c>
      <c r="B322">
        <v>3.75</v>
      </c>
      <c r="C322">
        <v>4.5</v>
      </c>
      <c r="D322">
        <v>1.7</v>
      </c>
    </row>
    <row r="324" spans="1:4" ht="15" customHeight="1" x14ac:dyDescent="0.25">
      <c r="A324" t="s">
        <v>192</v>
      </c>
      <c r="B324" t="s">
        <v>207</v>
      </c>
      <c r="C324" t="s">
        <v>13</v>
      </c>
      <c r="D324" t="s">
        <v>204</v>
      </c>
    </row>
    <row r="325" spans="1:4" ht="15" customHeight="1" x14ac:dyDescent="0.25">
      <c r="A325" t="s">
        <v>83</v>
      </c>
      <c r="B325">
        <v>100</v>
      </c>
      <c r="C325">
        <v>3</v>
      </c>
      <c r="D325">
        <v>2.6</v>
      </c>
    </row>
    <row r="326" spans="1:4" ht="15" customHeight="1" x14ac:dyDescent="0.25">
      <c r="A326" t="s">
        <v>84</v>
      </c>
      <c r="B326">
        <v>100</v>
      </c>
      <c r="C326">
        <v>2.7</v>
      </c>
      <c r="D326">
        <v>2.7</v>
      </c>
    </row>
    <row r="327" spans="1:4" ht="15" customHeight="1" x14ac:dyDescent="0.25">
      <c r="A327" t="s">
        <v>85</v>
      </c>
      <c r="B327">
        <v>99.99</v>
      </c>
      <c r="C327">
        <v>2.5</v>
      </c>
      <c r="D327">
        <v>2.4</v>
      </c>
    </row>
    <row r="328" spans="1:4" ht="15" customHeight="1" x14ac:dyDescent="0.25">
      <c r="A328" t="s">
        <v>86</v>
      </c>
      <c r="B328">
        <v>100.01</v>
      </c>
      <c r="C328">
        <v>2.4</v>
      </c>
      <c r="D328">
        <v>2.7</v>
      </c>
    </row>
    <row r="329" spans="1:4" ht="15" customHeight="1" x14ac:dyDescent="0.25">
      <c r="A329" t="s">
        <v>87</v>
      </c>
      <c r="B329">
        <v>100.03</v>
      </c>
      <c r="C329">
        <v>2.4</v>
      </c>
      <c r="D329">
        <v>2.6</v>
      </c>
    </row>
    <row r="330" spans="1:4" ht="15" customHeight="1" x14ac:dyDescent="0.25">
      <c r="A330" t="s">
        <v>88</v>
      </c>
      <c r="B330">
        <v>100.01</v>
      </c>
      <c r="C330">
        <v>2.4</v>
      </c>
      <c r="D330">
        <v>2.1</v>
      </c>
    </row>
    <row r="331" spans="1:4" ht="15" customHeight="1" x14ac:dyDescent="0.25">
      <c r="A331" t="s">
        <v>89</v>
      </c>
      <c r="B331">
        <v>100.07</v>
      </c>
      <c r="C331">
        <v>2.5</v>
      </c>
      <c r="D331">
        <v>3.3</v>
      </c>
    </row>
    <row r="332" spans="1:4" ht="15" customHeight="1" x14ac:dyDescent="0.25">
      <c r="A332" t="s">
        <v>90</v>
      </c>
      <c r="B332">
        <v>100.12</v>
      </c>
      <c r="C332">
        <v>2.7</v>
      </c>
      <c r="D332">
        <v>3.2</v>
      </c>
    </row>
    <row r="333" spans="1:4" ht="15" customHeight="1" x14ac:dyDescent="0.25">
      <c r="A333" t="s">
        <v>91</v>
      </c>
      <c r="B333">
        <v>100.15</v>
      </c>
      <c r="C333">
        <v>2.4</v>
      </c>
      <c r="D333">
        <v>2.8</v>
      </c>
    </row>
    <row r="334" spans="1:4" ht="15" customHeight="1" x14ac:dyDescent="0.25">
      <c r="A334" t="s">
        <v>92</v>
      </c>
      <c r="B334">
        <v>100.31</v>
      </c>
      <c r="C334">
        <v>2.4</v>
      </c>
      <c r="D334">
        <v>4.2</v>
      </c>
    </row>
    <row r="335" spans="1:4" ht="15" customHeight="1" x14ac:dyDescent="0.25">
      <c r="A335" t="s">
        <v>93</v>
      </c>
      <c r="B335">
        <v>100.38</v>
      </c>
      <c r="C335">
        <v>2.2999999999999998</v>
      </c>
      <c r="D335">
        <v>3.1</v>
      </c>
    </row>
    <row r="336" spans="1:4" ht="15" customHeight="1" x14ac:dyDescent="0.25">
      <c r="A336" t="s">
        <v>94</v>
      </c>
      <c r="B336">
        <v>100.47</v>
      </c>
      <c r="C336">
        <v>2.1</v>
      </c>
      <c r="D336">
        <v>3.2</v>
      </c>
    </row>
    <row r="337" spans="1:4" ht="15" customHeight="1" x14ac:dyDescent="0.25">
      <c r="A337" t="s">
        <v>95</v>
      </c>
      <c r="B337">
        <v>100.64</v>
      </c>
      <c r="C337">
        <v>1.8</v>
      </c>
      <c r="D337">
        <v>3.8</v>
      </c>
    </row>
    <row r="338" spans="1:4" ht="15" customHeight="1" x14ac:dyDescent="0.25">
      <c r="A338" t="s">
        <v>96</v>
      </c>
      <c r="B338">
        <v>100.78</v>
      </c>
      <c r="C338">
        <v>1.9</v>
      </c>
      <c r="D338">
        <v>3.7</v>
      </c>
    </row>
    <row r="339" spans="1:4" ht="15" customHeight="1" x14ac:dyDescent="0.25">
      <c r="A339" t="s">
        <v>97</v>
      </c>
      <c r="B339">
        <v>100.82</v>
      </c>
      <c r="C339">
        <v>1.9</v>
      </c>
      <c r="D339">
        <v>2.2999999999999998</v>
      </c>
    </row>
    <row r="340" spans="1:4" ht="15" customHeight="1" x14ac:dyDescent="0.25">
      <c r="A340" t="s">
        <v>98</v>
      </c>
      <c r="B340">
        <v>100.95</v>
      </c>
      <c r="C340">
        <v>2.1</v>
      </c>
      <c r="D340">
        <v>3.7</v>
      </c>
    </row>
    <row r="341" spans="1:4" ht="15" customHeight="1" x14ac:dyDescent="0.25">
      <c r="A341" t="s">
        <v>99</v>
      </c>
      <c r="B341">
        <v>101.13</v>
      </c>
      <c r="C341">
        <v>2</v>
      </c>
      <c r="D341">
        <v>4.0999999999999996</v>
      </c>
    </row>
    <row r="342" spans="1:4" ht="15" customHeight="1" x14ac:dyDescent="0.25">
      <c r="A342" t="s">
        <v>100</v>
      </c>
      <c r="B342">
        <v>101.29</v>
      </c>
      <c r="C342">
        <v>2</v>
      </c>
      <c r="D342">
        <v>4</v>
      </c>
    </row>
    <row r="343" spans="1:4" ht="15" customHeight="1" x14ac:dyDescent="0.25">
      <c r="A343" t="s">
        <v>101</v>
      </c>
      <c r="B343">
        <v>101.46</v>
      </c>
      <c r="C343">
        <v>2.1</v>
      </c>
      <c r="D343">
        <v>4</v>
      </c>
    </row>
    <row r="344" spans="1:4" ht="15" customHeight="1" x14ac:dyDescent="0.25">
      <c r="A344" t="s">
        <v>102</v>
      </c>
      <c r="B344">
        <v>101.6</v>
      </c>
      <c r="C344">
        <v>1.7</v>
      </c>
      <c r="D344">
        <v>3.4</v>
      </c>
    </row>
    <row r="345" spans="1:4" ht="15" customHeight="1" x14ac:dyDescent="0.25">
      <c r="A345" t="s">
        <v>103</v>
      </c>
      <c r="B345">
        <v>101.79</v>
      </c>
      <c r="C345">
        <v>1.7</v>
      </c>
      <c r="D345">
        <v>4</v>
      </c>
    </row>
    <row r="346" spans="1:4" ht="15" customHeight="1" x14ac:dyDescent="0.25">
      <c r="A346" t="s">
        <v>104</v>
      </c>
      <c r="B346">
        <v>101.87</v>
      </c>
      <c r="C346">
        <v>1.5</v>
      </c>
      <c r="D346">
        <v>2.4</v>
      </c>
    </row>
    <row r="347" spans="1:4" ht="15" customHeight="1" x14ac:dyDescent="0.25">
      <c r="A347" t="s">
        <v>105</v>
      </c>
      <c r="B347">
        <v>102.01</v>
      </c>
      <c r="C347">
        <v>1.5</v>
      </c>
      <c r="D347">
        <v>3.2</v>
      </c>
    </row>
    <row r="348" spans="1:4" ht="15" customHeight="1" x14ac:dyDescent="0.25">
      <c r="A348" t="s">
        <v>106</v>
      </c>
      <c r="B348">
        <v>102.12</v>
      </c>
      <c r="C348">
        <v>1.3</v>
      </c>
      <c r="D348">
        <v>2.6</v>
      </c>
    </row>
    <row r="349" spans="1:4" ht="15" customHeight="1" x14ac:dyDescent="0.25">
      <c r="A349" t="s">
        <v>107</v>
      </c>
      <c r="B349">
        <v>102.23</v>
      </c>
      <c r="C349">
        <v>1.8</v>
      </c>
      <c r="D349">
        <v>3.1</v>
      </c>
    </row>
    <row r="350" spans="1:4" ht="15" customHeight="1" x14ac:dyDescent="0.25">
      <c r="A350" t="s">
        <v>108</v>
      </c>
      <c r="B350">
        <v>102.33</v>
      </c>
      <c r="C350">
        <v>1.7</v>
      </c>
      <c r="D350">
        <v>2.8</v>
      </c>
    </row>
    <row r="351" spans="1:4" ht="15" customHeight="1" x14ac:dyDescent="0.25">
      <c r="A351" t="s">
        <v>109</v>
      </c>
      <c r="B351">
        <v>102.27</v>
      </c>
      <c r="C351">
        <v>1.5</v>
      </c>
      <c r="D351">
        <v>0.7</v>
      </c>
    </row>
    <row r="352" spans="1:4" ht="15" customHeight="1" x14ac:dyDescent="0.25">
      <c r="A352" t="s">
        <v>110</v>
      </c>
      <c r="B352">
        <v>102.12</v>
      </c>
      <c r="C352">
        <v>0.8</v>
      </c>
      <c r="D352">
        <v>-0.9</v>
      </c>
    </row>
    <row r="353" spans="1:4" ht="15" customHeight="1" x14ac:dyDescent="0.25">
      <c r="A353" t="s">
        <v>111</v>
      </c>
      <c r="B353">
        <v>101.99</v>
      </c>
      <c r="C353">
        <v>0.5</v>
      </c>
      <c r="D353">
        <v>-1</v>
      </c>
    </row>
    <row r="354" spans="1:4" ht="15" customHeight="1" x14ac:dyDescent="0.25">
      <c r="A354" t="s">
        <v>112</v>
      </c>
      <c r="B354">
        <v>101.81</v>
      </c>
      <c r="C354">
        <v>0.6</v>
      </c>
      <c r="D354">
        <v>-1.5</v>
      </c>
    </row>
    <row r="355" spans="1:4" ht="15" customHeight="1" x14ac:dyDescent="0.25">
      <c r="A355" t="s">
        <v>113</v>
      </c>
      <c r="B355">
        <v>101.72</v>
      </c>
      <c r="C355">
        <v>1</v>
      </c>
      <c r="D355">
        <v>-0.1</v>
      </c>
    </row>
    <row r="356" spans="1:4" ht="15" customHeight="1" x14ac:dyDescent="0.25">
      <c r="A356" t="s">
        <v>114</v>
      </c>
      <c r="B356">
        <v>101.87</v>
      </c>
      <c r="C356">
        <v>0.2</v>
      </c>
      <c r="D356">
        <v>2</v>
      </c>
    </row>
    <row r="357" spans="1:4" ht="15" customHeight="1" x14ac:dyDescent="0.25">
      <c r="A357" t="s">
        <v>115</v>
      </c>
      <c r="B357">
        <v>102.05</v>
      </c>
      <c r="C357">
        <v>0.5</v>
      </c>
      <c r="D357">
        <v>2.6</v>
      </c>
    </row>
    <row r="358" spans="1:4" ht="15" customHeight="1" x14ac:dyDescent="0.25">
      <c r="A358" t="s">
        <v>116</v>
      </c>
      <c r="B358">
        <v>102.31</v>
      </c>
      <c r="C358">
        <v>0.7</v>
      </c>
      <c r="D358">
        <v>3.7</v>
      </c>
    </row>
    <row r="359" spans="1:4" ht="15" customHeight="1" x14ac:dyDescent="0.25">
      <c r="A359" t="s">
        <v>117</v>
      </c>
      <c r="B359">
        <v>102.69</v>
      </c>
      <c r="C359">
        <v>0.3</v>
      </c>
      <c r="D359">
        <v>4.7</v>
      </c>
    </row>
    <row r="360" spans="1:4" ht="15" customHeight="1" x14ac:dyDescent="0.25">
      <c r="A360" t="s">
        <v>118</v>
      </c>
      <c r="B360">
        <v>103.09</v>
      </c>
      <c r="C360">
        <v>0.6</v>
      </c>
      <c r="D360">
        <v>5.3</v>
      </c>
    </row>
    <row r="361" spans="1:4" ht="15" customHeight="1" x14ac:dyDescent="0.25">
      <c r="A361" t="s">
        <v>119</v>
      </c>
      <c r="B361">
        <v>103.4</v>
      </c>
      <c r="C361">
        <v>0.7</v>
      </c>
      <c r="D361">
        <v>4.4000000000000004</v>
      </c>
    </row>
    <row r="362" spans="1:4" ht="15" customHeight="1" x14ac:dyDescent="0.25">
      <c r="A362" t="s">
        <v>120</v>
      </c>
      <c r="B362">
        <v>103.71</v>
      </c>
      <c r="C362">
        <v>0.4</v>
      </c>
      <c r="D362">
        <v>4</v>
      </c>
    </row>
    <row r="363" spans="1:4" ht="15" customHeight="1" x14ac:dyDescent="0.25">
      <c r="A363" t="s">
        <v>121</v>
      </c>
      <c r="B363">
        <v>104.01</v>
      </c>
      <c r="C363">
        <v>0.7</v>
      </c>
      <c r="D363">
        <v>4.2</v>
      </c>
    </row>
    <row r="364" spans="1:4" ht="15" customHeight="1" x14ac:dyDescent="0.25">
      <c r="A364" t="s">
        <v>122</v>
      </c>
      <c r="B364">
        <v>104.65</v>
      </c>
      <c r="C364">
        <v>1.5</v>
      </c>
      <c r="D364">
        <v>8.8000000000000007</v>
      </c>
    </row>
    <row r="365" spans="1:4" ht="15" customHeight="1" x14ac:dyDescent="0.25">
      <c r="A365" t="s">
        <v>123</v>
      </c>
      <c r="B365">
        <v>105.28</v>
      </c>
      <c r="C365">
        <v>2.1</v>
      </c>
      <c r="D365">
        <v>9.3000000000000007</v>
      </c>
    </row>
    <row r="366" spans="1:4" ht="15" customHeight="1" x14ac:dyDescent="0.25">
      <c r="A366" t="s">
        <v>124</v>
      </c>
      <c r="B366">
        <v>105.82</v>
      </c>
      <c r="C366">
        <v>2.5</v>
      </c>
      <c r="D366">
        <v>8.6</v>
      </c>
    </row>
    <row r="367" spans="1:4" ht="15" customHeight="1" x14ac:dyDescent="0.25">
      <c r="A367" t="s">
        <v>125</v>
      </c>
      <c r="B367">
        <v>106.28</v>
      </c>
      <c r="C367">
        <v>2</v>
      </c>
      <c r="D367">
        <v>7.3</v>
      </c>
    </row>
    <row r="368" spans="1:4" ht="15" customHeight="1" x14ac:dyDescent="0.25">
      <c r="A368" t="s">
        <v>126</v>
      </c>
      <c r="B368">
        <v>106.51</v>
      </c>
      <c r="C368">
        <v>3.2</v>
      </c>
      <c r="D368">
        <v>5.8</v>
      </c>
    </row>
    <row r="369" spans="1:4" ht="15" customHeight="1" x14ac:dyDescent="0.25">
      <c r="A369" t="s">
        <v>127</v>
      </c>
      <c r="B369">
        <v>106.66</v>
      </c>
      <c r="C369">
        <v>3.1</v>
      </c>
      <c r="D369">
        <v>4.8</v>
      </c>
    </row>
    <row r="370" spans="1:4" ht="15" customHeight="1" x14ac:dyDescent="0.25">
      <c r="A370" t="s">
        <v>128</v>
      </c>
      <c r="B370">
        <v>106.7</v>
      </c>
      <c r="C370">
        <v>4.2</v>
      </c>
      <c r="D370">
        <v>4.5999999999999996</v>
      </c>
    </row>
    <row r="371" spans="1:4" ht="15" customHeight="1" x14ac:dyDescent="0.25">
      <c r="A371" t="s">
        <v>129</v>
      </c>
      <c r="B371">
        <v>106.58</v>
      </c>
      <c r="C371">
        <v>5.0999999999999996</v>
      </c>
      <c r="D371">
        <v>3.8</v>
      </c>
    </row>
    <row r="372" spans="1:4" ht="15" customHeight="1" x14ac:dyDescent="0.25">
      <c r="A372" t="s">
        <v>130</v>
      </c>
      <c r="B372">
        <v>106.66</v>
      </c>
      <c r="C372">
        <v>5.4</v>
      </c>
      <c r="D372">
        <v>6.2</v>
      </c>
    </row>
    <row r="373" spans="1:4" ht="15" customHeight="1" x14ac:dyDescent="0.25">
      <c r="A373" t="s">
        <v>131</v>
      </c>
      <c r="B373">
        <v>106.66</v>
      </c>
      <c r="C373">
        <v>5.5</v>
      </c>
      <c r="D373">
        <v>5.5</v>
      </c>
    </row>
    <row r="374" spans="1:4" ht="15" customHeight="1" x14ac:dyDescent="0.25">
      <c r="A374" t="s">
        <v>132</v>
      </c>
      <c r="B374">
        <v>106.64</v>
      </c>
      <c r="C374">
        <v>6.2</v>
      </c>
      <c r="D374">
        <v>6</v>
      </c>
    </row>
    <row r="375" spans="1:4" ht="15" customHeight="1" x14ac:dyDescent="0.25">
      <c r="A375" t="s">
        <v>133</v>
      </c>
      <c r="B375">
        <v>106.94</v>
      </c>
      <c r="C375">
        <v>7</v>
      </c>
      <c r="D375">
        <v>10.3</v>
      </c>
    </row>
    <row r="376" spans="1:4" ht="15" customHeight="1" x14ac:dyDescent="0.25">
      <c r="A376" t="s">
        <v>134</v>
      </c>
      <c r="B376">
        <v>106.6</v>
      </c>
      <c r="C376">
        <v>9</v>
      </c>
      <c r="D376">
        <v>5.0999999999999996</v>
      </c>
    </row>
    <row r="377" spans="1:4" ht="15" customHeight="1" x14ac:dyDescent="0.25">
      <c r="A377" t="s">
        <v>135</v>
      </c>
      <c r="B377">
        <v>106.17</v>
      </c>
      <c r="C377">
        <v>9.1</v>
      </c>
      <c r="D377">
        <v>4.3</v>
      </c>
    </row>
    <row r="378" spans="1:4" ht="15" customHeight="1" x14ac:dyDescent="0.25">
      <c r="A378" t="s">
        <v>136</v>
      </c>
      <c r="B378">
        <v>105.89</v>
      </c>
      <c r="C378">
        <v>9.4</v>
      </c>
      <c r="D378">
        <v>6.3</v>
      </c>
    </row>
    <row r="379" spans="1:4" ht="15" customHeight="1" x14ac:dyDescent="0.25">
      <c r="A379" t="s">
        <v>137</v>
      </c>
      <c r="B379">
        <v>105.52</v>
      </c>
      <c r="C379">
        <v>10.1</v>
      </c>
      <c r="D379">
        <v>5.9</v>
      </c>
    </row>
    <row r="380" spans="1:4" ht="15" customHeight="1" x14ac:dyDescent="0.25">
      <c r="A380" t="s">
        <v>138</v>
      </c>
      <c r="B380">
        <v>105.19</v>
      </c>
      <c r="C380">
        <v>9.9</v>
      </c>
      <c r="D380">
        <v>6.2</v>
      </c>
    </row>
    <row r="381" spans="1:4" ht="15" customHeight="1" x14ac:dyDescent="0.25">
      <c r="A381" t="s">
        <v>139</v>
      </c>
      <c r="B381">
        <v>104.82</v>
      </c>
      <c r="C381">
        <v>10.1</v>
      </c>
      <c r="D381">
        <v>5.9</v>
      </c>
    </row>
    <row r="382" spans="1:4" ht="15" customHeight="1" x14ac:dyDescent="0.25">
      <c r="A382" t="s">
        <v>140</v>
      </c>
      <c r="B382">
        <v>104.42</v>
      </c>
      <c r="C382">
        <v>11.1</v>
      </c>
      <c r="D382">
        <v>6.5</v>
      </c>
    </row>
    <row r="383" spans="1:4" ht="15" customHeight="1" x14ac:dyDescent="0.25">
      <c r="A383" t="s">
        <v>141</v>
      </c>
      <c r="B383">
        <v>104.13</v>
      </c>
      <c r="C383">
        <v>10.7</v>
      </c>
      <c r="D383">
        <v>7.3</v>
      </c>
    </row>
    <row r="384" spans="1:4" ht="15" customHeight="1" x14ac:dyDescent="0.25">
      <c r="A384" t="s">
        <v>142</v>
      </c>
      <c r="B384">
        <v>103.64</v>
      </c>
      <c r="C384">
        <v>10.5</v>
      </c>
      <c r="D384">
        <v>4.9000000000000004</v>
      </c>
    </row>
    <row r="385" spans="1:4" ht="15" customHeight="1" x14ac:dyDescent="0.25">
      <c r="A385" t="s">
        <v>143</v>
      </c>
      <c r="B385">
        <v>103.3</v>
      </c>
      <c r="C385">
        <v>10.1</v>
      </c>
      <c r="D385">
        <v>6.2</v>
      </c>
    </row>
    <row r="386" spans="1:4" ht="15" customHeight="1" x14ac:dyDescent="0.25">
      <c r="A386" t="s">
        <v>144</v>
      </c>
      <c r="B386">
        <v>102.99</v>
      </c>
      <c r="C386">
        <v>10.4</v>
      </c>
      <c r="D386">
        <v>6.7</v>
      </c>
    </row>
    <row r="387" spans="1:4" ht="15" customHeight="1" x14ac:dyDescent="0.25">
      <c r="A387" t="s">
        <v>145</v>
      </c>
      <c r="B387">
        <v>102.63</v>
      </c>
      <c r="C387">
        <v>10.1</v>
      </c>
      <c r="D387">
        <v>5.9</v>
      </c>
    </row>
    <row r="388" spans="1:4" ht="15" customHeight="1" x14ac:dyDescent="0.25">
      <c r="A388" t="s">
        <v>146</v>
      </c>
      <c r="B388">
        <v>102.54</v>
      </c>
      <c r="C388">
        <v>8.6999999999999993</v>
      </c>
      <c r="D388">
        <v>7.7</v>
      </c>
    </row>
    <row r="389" spans="1:4" ht="15" customHeight="1" x14ac:dyDescent="0.25">
      <c r="A389" t="s">
        <v>147</v>
      </c>
      <c r="B389">
        <v>102.48</v>
      </c>
      <c r="C389">
        <v>8.6999999999999993</v>
      </c>
      <c r="D389">
        <v>8</v>
      </c>
    </row>
    <row r="390" spans="1:4" ht="15" customHeight="1" x14ac:dyDescent="0.25">
      <c r="A390" t="s">
        <v>148</v>
      </c>
      <c r="B390">
        <v>102.59</v>
      </c>
      <c r="C390">
        <v>7.9</v>
      </c>
      <c r="D390">
        <v>9.1</v>
      </c>
    </row>
    <row r="391" spans="1:4" ht="15" customHeight="1" x14ac:dyDescent="0.25">
      <c r="A391" t="s">
        <v>149</v>
      </c>
      <c r="B391">
        <v>102.7</v>
      </c>
      <c r="C391">
        <v>6.8</v>
      </c>
      <c r="D391">
        <v>8.1</v>
      </c>
    </row>
    <row r="392" spans="1:4" ht="15" customHeight="1" x14ac:dyDescent="0.25">
      <c r="A392" t="s">
        <v>150</v>
      </c>
      <c r="B392">
        <v>102.75</v>
      </c>
      <c r="C392">
        <v>6.7</v>
      </c>
      <c r="D392">
        <v>7.2</v>
      </c>
    </row>
    <row r="393" spans="1:4" ht="15" customHeight="1" x14ac:dyDescent="0.25">
      <c r="A393" t="s">
        <v>151</v>
      </c>
      <c r="B393">
        <v>102.87</v>
      </c>
      <c r="C393">
        <v>6.7</v>
      </c>
      <c r="D393">
        <v>8.1999999999999993</v>
      </c>
    </row>
    <row r="394" spans="1:4" ht="15" customHeight="1" x14ac:dyDescent="0.25">
      <c r="A394" t="s">
        <v>152</v>
      </c>
      <c r="B394">
        <v>102.99</v>
      </c>
      <c r="C394">
        <v>4.5999999999999996</v>
      </c>
      <c r="D394">
        <v>5.9</v>
      </c>
    </row>
    <row r="395" spans="1:4" ht="15" customHeight="1" x14ac:dyDescent="0.25">
      <c r="A395" t="s">
        <v>153</v>
      </c>
      <c r="B395">
        <v>103.15</v>
      </c>
      <c r="C395">
        <v>3.9</v>
      </c>
      <c r="D395">
        <v>5.8</v>
      </c>
    </row>
    <row r="396" spans="1:4" ht="15" customHeight="1" x14ac:dyDescent="0.25">
      <c r="A396" t="s">
        <v>154</v>
      </c>
      <c r="B396">
        <v>103.3</v>
      </c>
      <c r="C396">
        <v>4</v>
      </c>
      <c r="D396">
        <v>5.7</v>
      </c>
    </row>
    <row r="397" spans="1:4" ht="15" customHeight="1" x14ac:dyDescent="0.25">
      <c r="A397" t="s">
        <v>155</v>
      </c>
      <c r="B397">
        <v>103.44</v>
      </c>
      <c r="C397">
        <v>4</v>
      </c>
      <c r="D397">
        <v>5.7</v>
      </c>
    </row>
    <row r="398" spans="1:4" ht="15" customHeight="1" x14ac:dyDescent="0.25">
      <c r="A398" t="s">
        <v>156</v>
      </c>
      <c r="B398">
        <v>103.64</v>
      </c>
      <c r="C398">
        <v>3.4</v>
      </c>
      <c r="D398">
        <v>5.6</v>
      </c>
    </row>
    <row r="399" spans="1:4" ht="15" customHeight="1" x14ac:dyDescent="0.25">
      <c r="A399" t="s">
        <v>157</v>
      </c>
      <c r="B399">
        <v>103.9</v>
      </c>
      <c r="C399">
        <v>3.2</v>
      </c>
      <c r="D399">
        <v>6.3</v>
      </c>
    </row>
    <row r="400" spans="1:4" ht="15" customHeight="1" x14ac:dyDescent="0.25">
      <c r="A400" t="s">
        <v>158</v>
      </c>
      <c r="B400">
        <v>104.18</v>
      </c>
      <c r="C400">
        <v>2.2999999999999998</v>
      </c>
      <c r="D400">
        <v>5.6</v>
      </c>
    </row>
    <row r="401" spans="1:4" ht="15" customHeight="1" x14ac:dyDescent="0.25">
      <c r="A401" t="s">
        <v>159</v>
      </c>
      <c r="B401">
        <v>104.48</v>
      </c>
      <c r="C401">
        <v>2</v>
      </c>
      <c r="D401">
        <v>5.5</v>
      </c>
    </row>
    <row r="402" spans="1:4" ht="15" customHeight="1" x14ac:dyDescent="0.25">
      <c r="A402" t="s">
        <v>160</v>
      </c>
      <c r="B402">
        <v>104.59</v>
      </c>
      <c r="C402">
        <v>2</v>
      </c>
      <c r="D402">
        <v>3.3</v>
      </c>
    </row>
    <row r="403" spans="1:4" ht="15" customHeight="1" x14ac:dyDescent="0.25">
      <c r="A403" t="s">
        <v>161</v>
      </c>
      <c r="B403">
        <v>104.78</v>
      </c>
      <c r="C403">
        <v>2.2000000000000002</v>
      </c>
      <c r="D403">
        <v>4.3</v>
      </c>
    </row>
    <row r="404" spans="1:4" ht="15" customHeight="1" x14ac:dyDescent="0.25">
      <c r="A404" t="s">
        <v>162</v>
      </c>
      <c r="B404">
        <v>105.01</v>
      </c>
      <c r="C404">
        <v>2.2000000000000002</v>
      </c>
      <c r="D404">
        <v>4.8</v>
      </c>
    </row>
    <row r="405" spans="1:4" ht="15" customHeight="1" x14ac:dyDescent="0.25">
      <c r="A405" t="s">
        <v>163</v>
      </c>
      <c r="B405">
        <v>105.31</v>
      </c>
      <c r="C405">
        <v>1.7</v>
      </c>
      <c r="D405">
        <v>5.0999999999999996</v>
      </c>
    </row>
    <row r="406" spans="1:4" ht="15" customHeight="1" x14ac:dyDescent="0.25">
      <c r="A406" t="s">
        <v>164</v>
      </c>
      <c r="B406">
        <v>105.64</v>
      </c>
      <c r="C406">
        <v>2.2999999999999998</v>
      </c>
      <c r="D406">
        <v>6.1</v>
      </c>
    </row>
    <row r="407" spans="1:4" ht="15" customHeight="1" x14ac:dyDescent="0.25">
      <c r="A407" t="s">
        <v>165</v>
      </c>
      <c r="B407">
        <v>105.9</v>
      </c>
      <c r="C407">
        <v>2.6</v>
      </c>
      <c r="D407">
        <v>5.6</v>
      </c>
    </row>
    <row r="408" spans="1:4" ht="15" customHeight="1" x14ac:dyDescent="0.25">
      <c r="A408" t="s">
        <v>166</v>
      </c>
      <c r="B408">
        <v>106.22</v>
      </c>
      <c r="C408">
        <v>2.5</v>
      </c>
      <c r="D408">
        <v>6.2</v>
      </c>
    </row>
    <row r="409" spans="1:4" ht="15" customHeight="1" x14ac:dyDescent="0.25">
      <c r="A409" t="s">
        <v>167</v>
      </c>
      <c r="B409">
        <v>106.41</v>
      </c>
      <c r="C409">
        <v>3</v>
      </c>
      <c r="D409">
        <v>5.0999999999999996</v>
      </c>
    </row>
    <row r="410" spans="1:4" ht="15" customHeight="1" x14ac:dyDescent="0.25">
      <c r="A410" t="s">
        <v>168</v>
      </c>
      <c r="B410">
        <v>106.67</v>
      </c>
      <c r="C410">
        <v>2.8</v>
      </c>
      <c r="D410">
        <v>5.7</v>
      </c>
    </row>
    <row r="411" spans="1:4" ht="15" customHeight="1" x14ac:dyDescent="0.25">
      <c r="A411" t="s">
        <v>169</v>
      </c>
      <c r="B411">
        <v>106.93</v>
      </c>
      <c r="C411">
        <v>2.6</v>
      </c>
      <c r="D411">
        <v>5.5</v>
      </c>
    </row>
    <row r="412" spans="1:4" ht="15" customHeight="1" x14ac:dyDescent="0.25">
      <c r="A412" t="s">
        <v>170</v>
      </c>
      <c r="B412">
        <v>107.02</v>
      </c>
      <c r="C412">
        <v>3.5</v>
      </c>
      <c r="D412">
        <v>4.5999999999999996</v>
      </c>
    </row>
    <row r="413" spans="1:4" ht="15" customHeight="1" x14ac:dyDescent="0.25">
      <c r="A413" t="s">
        <v>171</v>
      </c>
      <c r="B413">
        <v>107.13</v>
      </c>
      <c r="C413">
        <v>3.4</v>
      </c>
      <c r="D413">
        <v>4.5999999999999996</v>
      </c>
    </row>
    <row r="414" spans="1:4" ht="15" customHeight="1" x14ac:dyDescent="0.25">
      <c r="A414" t="s">
        <v>172</v>
      </c>
      <c r="B414">
        <v>107.23</v>
      </c>
      <c r="C414">
        <v>3.6</v>
      </c>
      <c r="D414">
        <v>4.8</v>
      </c>
    </row>
    <row r="415" spans="1:4" ht="15" customHeight="1" x14ac:dyDescent="0.25">
      <c r="A415" t="s">
        <v>173</v>
      </c>
      <c r="B415">
        <v>107.34</v>
      </c>
      <c r="C415">
        <v>3.8</v>
      </c>
      <c r="D415">
        <v>5</v>
      </c>
    </row>
    <row r="416" spans="1:4" ht="15" customHeight="1" x14ac:dyDescent="0.25">
      <c r="A416" t="s">
        <v>174</v>
      </c>
      <c r="B416">
        <v>107.47</v>
      </c>
      <c r="C416">
        <v>3.8</v>
      </c>
      <c r="D416">
        <v>5.3</v>
      </c>
    </row>
    <row r="417" spans="1:4" ht="15" customHeight="1" x14ac:dyDescent="0.25">
      <c r="A417" t="s">
        <v>175</v>
      </c>
      <c r="B417">
        <v>107.52</v>
      </c>
      <c r="C417">
        <v>3.8</v>
      </c>
      <c r="D417">
        <v>4.3</v>
      </c>
    </row>
    <row r="418" spans="1:4" ht="15" customHeight="1" x14ac:dyDescent="0.25">
      <c r="A418" t="s">
        <v>176</v>
      </c>
      <c r="B418">
        <v>107.63</v>
      </c>
      <c r="C418">
        <v>3.6</v>
      </c>
      <c r="D418">
        <v>4.9000000000000004</v>
      </c>
    </row>
    <row r="419" spans="1:4" ht="15" customHeight="1" x14ac:dyDescent="0.25">
      <c r="A419" t="s">
        <v>177</v>
      </c>
      <c r="B419">
        <v>107.76</v>
      </c>
      <c r="C419">
        <v>3.2</v>
      </c>
      <c r="D419">
        <v>4.5999999999999996</v>
      </c>
    </row>
    <row r="420" spans="1:4" ht="15" customHeight="1" x14ac:dyDescent="0.25">
      <c r="A420" t="s">
        <v>178</v>
      </c>
      <c r="B420">
        <v>107.73</v>
      </c>
      <c r="C420">
        <v>3.4</v>
      </c>
      <c r="D420">
        <v>3.1</v>
      </c>
    </row>
    <row r="421" spans="1:4" ht="15" customHeight="1" x14ac:dyDescent="0.25">
      <c r="A421" t="s">
        <v>179</v>
      </c>
      <c r="B421">
        <v>107.88</v>
      </c>
      <c r="C421">
        <v>3</v>
      </c>
      <c r="D421">
        <v>4.5999999999999996</v>
      </c>
    </row>
    <row r="422" spans="1:4" ht="15" customHeight="1" x14ac:dyDescent="0.25">
      <c r="A422" t="s">
        <v>180</v>
      </c>
      <c r="B422">
        <v>107.96</v>
      </c>
      <c r="C422">
        <v>3</v>
      </c>
      <c r="D422">
        <v>3.9</v>
      </c>
    </row>
    <row r="423" spans="1:4" ht="15" customHeight="1" x14ac:dyDescent="0.25">
      <c r="A423" t="s">
        <v>181</v>
      </c>
      <c r="B423">
        <v>108</v>
      </c>
      <c r="C423">
        <v>3.3</v>
      </c>
      <c r="D423">
        <v>3.8</v>
      </c>
    </row>
    <row r="424" spans="1:4" ht="15" customHeight="1" x14ac:dyDescent="0.25">
      <c r="A424" t="s">
        <v>182</v>
      </c>
      <c r="B424">
        <v>107.75</v>
      </c>
      <c r="C424">
        <v>2.8</v>
      </c>
    </row>
  </sheetData>
  <mergeCells count="37">
    <mergeCell ref="A63:F63"/>
    <mergeCell ref="G63:K63"/>
    <mergeCell ref="A60:F60"/>
    <mergeCell ref="G60:K60"/>
    <mergeCell ref="A61:F61"/>
    <mergeCell ref="G61:K61"/>
    <mergeCell ref="A62:F62"/>
    <mergeCell ref="G62:K62"/>
    <mergeCell ref="A57:F57"/>
    <mergeCell ref="G57:K57"/>
    <mergeCell ref="A58:F58"/>
    <mergeCell ref="G58:K58"/>
    <mergeCell ref="A59:F59"/>
    <mergeCell ref="G59:K59"/>
    <mergeCell ref="A51:X51"/>
    <mergeCell ref="A52:X52"/>
    <mergeCell ref="A53:X53"/>
    <mergeCell ref="A54:X54"/>
    <mergeCell ref="A56:X56"/>
    <mergeCell ref="A6:E6"/>
    <mergeCell ref="F6:J6"/>
    <mergeCell ref="K6:O6"/>
    <mergeCell ref="P6:S6"/>
    <mergeCell ref="T6:X6"/>
    <mergeCell ref="A5:E5"/>
    <mergeCell ref="F5:J5"/>
    <mergeCell ref="K5:O5"/>
    <mergeCell ref="P5:S5"/>
    <mergeCell ref="T5:X5"/>
    <mergeCell ref="A1:X1"/>
    <mergeCell ref="A2:X2"/>
    <mergeCell ref="A3:X3"/>
    <mergeCell ref="A4:E4"/>
    <mergeCell ref="F4:J4"/>
    <mergeCell ref="K4:O4"/>
    <mergeCell ref="P4:S4"/>
    <mergeCell ref="T4:X4"/>
  </mergeCells>
  <pageMargins left="0.75" right="0.75" top="1" bottom="1" header="0.511811023622047" footer="0.511811023622047"/>
  <pageSetup paperSize="15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Raw_RSI</vt:lpstr>
      <vt:lpstr>Raw_CPI</vt:lpstr>
      <vt:lpstr>Raw_BoE</vt:lpstr>
      <vt:lpstr>Raw_AWE</vt:lpstr>
      <vt:lpstr>Raw_GDP</vt:lpstr>
      <vt:lpstr>Master</vt:lpstr>
      <vt:lpstr>Pivots</vt:lpstr>
      <vt:lpstr>Scenario_Model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Md Arshad</cp:lastModifiedBy>
  <cp:revision>2</cp:revision>
  <cp:lastPrinted>2026-06-17T18:39:08Z</cp:lastPrinted>
  <dcterms:created xsi:type="dcterms:W3CDTF">2026-06-15T23:25:44Z</dcterms:created>
  <dcterms:modified xsi:type="dcterms:W3CDTF">2026-06-17T18:48:30Z</dcterms:modified>
  <dc:language>en-US</dc:language>
</cp:coreProperties>
</file>