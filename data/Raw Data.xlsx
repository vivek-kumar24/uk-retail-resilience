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ata Base\Fiverr project\PowerBI\Vivek\git\excel\"/>
    </mc:Choice>
  </mc:AlternateContent>
  <xr:revisionPtr revIDLastSave="0" documentId="8_{5ACCA798-B655-4FBE-A9BB-2362999005AC}" xr6:coauthVersionLast="47" xr6:coauthVersionMax="47" xr10:uidLastSave="{00000000-0000-0000-0000-000000000000}"/>
  <bookViews>
    <workbookView xWindow="-120" yWindow="-120" windowWidth="29040" windowHeight="15720" xr2:uid="{00E95BFC-19DD-41D4-9288-537655F2C297}"/>
  </bookViews>
  <sheets>
    <sheet name="Raw_RSI" sheetId="2" r:id="rId1"/>
    <sheet name="Raw_CPI" sheetId="3" r:id="rId2"/>
    <sheet name="Raw_BoE" sheetId="4" r:id="rId3"/>
    <sheet name="Raw_AWE" sheetId="5" r:id="rId4"/>
    <sheet name="Raw_GDP" sheetId="6" r:id="rId5"/>
    <sheet name="Master" sheetId="7" r:id="rId6"/>
    <sheet name="Sheet1" sheetId="1" r:id="rId7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102" i="7" l="1"/>
  <c r="S102" i="7"/>
  <c r="Q102" i="7"/>
  <c r="P102" i="7"/>
  <c r="T101" i="7"/>
  <c r="S101" i="7"/>
  <c r="Q101" i="7"/>
  <c r="P101" i="7"/>
  <c r="T100" i="7"/>
  <c r="S100" i="7"/>
  <c r="Q100" i="7"/>
  <c r="P100" i="7"/>
  <c r="T99" i="7"/>
  <c r="S99" i="7"/>
  <c r="Q99" i="7"/>
  <c r="P99" i="7"/>
  <c r="T98" i="7"/>
  <c r="S98" i="7"/>
  <c r="Q98" i="7"/>
  <c r="P98" i="7"/>
  <c r="T97" i="7"/>
  <c r="S97" i="7"/>
  <c r="Q97" i="7"/>
  <c r="P97" i="7"/>
  <c r="T96" i="7"/>
  <c r="S96" i="7"/>
  <c r="Q96" i="7"/>
  <c r="P96" i="7"/>
  <c r="T95" i="7"/>
  <c r="S95" i="7"/>
  <c r="Q95" i="7"/>
  <c r="P95" i="7"/>
  <c r="T94" i="7"/>
  <c r="S94" i="7"/>
  <c r="Q94" i="7"/>
  <c r="P94" i="7"/>
  <c r="T93" i="7"/>
  <c r="S93" i="7"/>
  <c r="Q93" i="7"/>
  <c r="P93" i="7"/>
  <c r="T92" i="7"/>
  <c r="S92" i="7"/>
  <c r="Q92" i="7"/>
  <c r="P92" i="7"/>
  <c r="T91" i="7"/>
  <c r="S91" i="7"/>
  <c r="Q91" i="7"/>
  <c r="P91" i="7"/>
  <c r="T90" i="7"/>
  <c r="S90" i="7"/>
  <c r="Q90" i="7"/>
  <c r="P90" i="7"/>
  <c r="T89" i="7"/>
  <c r="S89" i="7"/>
  <c r="Q89" i="7"/>
  <c r="P89" i="7"/>
  <c r="T88" i="7"/>
  <c r="S88" i="7"/>
  <c r="Q88" i="7"/>
  <c r="P88" i="7"/>
  <c r="T87" i="7"/>
  <c r="S87" i="7"/>
  <c r="Q87" i="7"/>
  <c r="P87" i="7"/>
  <c r="T86" i="7"/>
  <c r="S86" i="7"/>
  <c r="Q86" i="7"/>
  <c r="P86" i="7"/>
  <c r="T85" i="7"/>
  <c r="S85" i="7"/>
  <c r="Q85" i="7"/>
  <c r="P85" i="7"/>
  <c r="T84" i="7"/>
  <c r="S84" i="7"/>
  <c r="Q84" i="7"/>
  <c r="P84" i="7"/>
  <c r="T83" i="7"/>
  <c r="S83" i="7"/>
  <c r="Q83" i="7"/>
  <c r="P83" i="7"/>
  <c r="T82" i="7"/>
  <c r="S82" i="7"/>
  <c r="Q82" i="7"/>
  <c r="P82" i="7"/>
  <c r="T81" i="7"/>
  <c r="S81" i="7"/>
  <c r="Q81" i="7"/>
  <c r="P81" i="7"/>
  <c r="T80" i="7"/>
  <c r="S80" i="7"/>
  <c r="Q80" i="7"/>
  <c r="P80" i="7"/>
  <c r="T79" i="7"/>
  <c r="S79" i="7"/>
  <c r="Q79" i="7"/>
  <c r="P79" i="7"/>
  <c r="T78" i="7"/>
  <c r="S78" i="7"/>
  <c r="Q78" i="7"/>
  <c r="P78" i="7"/>
  <c r="T77" i="7"/>
  <c r="S77" i="7"/>
  <c r="Q77" i="7"/>
  <c r="P77" i="7"/>
  <c r="T76" i="7"/>
  <c r="S76" i="7"/>
  <c r="Q76" i="7"/>
  <c r="P76" i="7"/>
  <c r="T75" i="7"/>
  <c r="S75" i="7"/>
  <c r="Q75" i="7"/>
  <c r="P75" i="7"/>
  <c r="T74" i="7"/>
  <c r="S74" i="7"/>
  <c r="Q74" i="7"/>
  <c r="P74" i="7"/>
  <c r="T73" i="7"/>
  <c r="S73" i="7"/>
  <c r="Q73" i="7"/>
  <c r="P73" i="7"/>
  <c r="T72" i="7"/>
  <c r="S72" i="7"/>
  <c r="Q72" i="7"/>
  <c r="P72" i="7"/>
  <c r="T71" i="7"/>
  <c r="S71" i="7"/>
  <c r="Q71" i="7"/>
  <c r="P71" i="7"/>
  <c r="T70" i="7"/>
  <c r="S70" i="7"/>
  <c r="Q70" i="7"/>
  <c r="P70" i="7"/>
  <c r="T69" i="7"/>
  <c r="S69" i="7"/>
  <c r="Q69" i="7"/>
  <c r="P69" i="7"/>
  <c r="T68" i="7"/>
  <c r="S68" i="7"/>
  <c r="Q68" i="7"/>
  <c r="P68" i="7"/>
  <c r="T67" i="7"/>
  <c r="S67" i="7"/>
  <c r="Q67" i="7"/>
  <c r="P67" i="7"/>
  <c r="T66" i="7"/>
  <c r="S66" i="7"/>
  <c r="Q66" i="7"/>
  <c r="P66" i="7"/>
  <c r="T65" i="7"/>
  <c r="S65" i="7"/>
  <c r="Q65" i="7"/>
  <c r="P65" i="7"/>
  <c r="T64" i="7"/>
  <c r="S64" i="7"/>
  <c r="Q64" i="7"/>
  <c r="P64" i="7"/>
  <c r="T63" i="7"/>
  <c r="S63" i="7"/>
  <c r="Q63" i="7"/>
  <c r="P63" i="7"/>
  <c r="T62" i="7"/>
  <c r="S62" i="7"/>
  <c r="Q62" i="7"/>
  <c r="P62" i="7"/>
  <c r="T61" i="7"/>
  <c r="S61" i="7"/>
  <c r="Q61" i="7"/>
  <c r="P61" i="7"/>
  <c r="T60" i="7"/>
  <c r="S60" i="7"/>
  <c r="Q60" i="7"/>
  <c r="P60" i="7"/>
  <c r="T59" i="7"/>
  <c r="S59" i="7"/>
  <c r="Q59" i="7"/>
  <c r="P59" i="7"/>
  <c r="T58" i="7"/>
  <c r="S58" i="7"/>
  <c r="Q58" i="7"/>
  <c r="P58" i="7"/>
  <c r="T57" i="7"/>
  <c r="S57" i="7"/>
  <c r="Q57" i="7"/>
  <c r="P57" i="7"/>
  <c r="T56" i="7"/>
  <c r="S56" i="7"/>
  <c r="Q56" i="7"/>
  <c r="P56" i="7"/>
  <c r="T55" i="7"/>
  <c r="S55" i="7"/>
  <c r="Q55" i="7"/>
  <c r="P55" i="7"/>
  <c r="T54" i="7"/>
  <c r="S54" i="7"/>
  <c r="Q54" i="7"/>
  <c r="P54" i="7"/>
  <c r="T53" i="7"/>
  <c r="S53" i="7"/>
  <c r="Q53" i="7"/>
  <c r="P53" i="7"/>
  <c r="T52" i="7"/>
  <c r="S52" i="7"/>
  <c r="Q52" i="7"/>
  <c r="P52" i="7"/>
  <c r="T51" i="7"/>
  <c r="S51" i="7"/>
  <c r="Q51" i="7"/>
  <c r="P51" i="7"/>
  <c r="T50" i="7"/>
  <c r="S50" i="7"/>
  <c r="Q50" i="7"/>
  <c r="P50" i="7"/>
  <c r="T49" i="7"/>
  <c r="S49" i="7"/>
  <c r="Q49" i="7"/>
  <c r="P49" i="7"/>
  <c r="T48" i="7"/>
  <c r="S48" i="7"/>
  <c r="Q48" i="7"/>
  <c r="P48" i="7"/>
  <c r="T47" i="7"/>
  <c r="S47" i="7"/>
  <c r="Q47" i="7"/>
  <c r="P47" i="7"/>
  <c r="T46" i="7"/>
  <c r="S46" i="7"/>
  <c r="Q46" i="7"/>
  <c r="P46" i="7"/>
  <c r="T45" i="7"/>
  <c r="S45" i="7"/>
  <c r="Q45" i="7"/>
  <c r="P45" i="7"/>
  <c r="T44" i="7"/>
  <c r="S44" i="7"/>
  <c r="Q44" i="7"/>
  <c r="P44" i="7"/>
  <c r="T43" i="7"/>
  <c r="S43" i="7"/>
  <c r="Q43" i="7"/>
  <c r="P43" i="7"/>
  <c r="T42" i="7"/>
  <c r="S42" i="7"/>
  <c r="Q42" i="7"/>
  <c r="P42" i="7"/>
  <c r="T41" i="7"/>
  <c r="S41" i="7"/>
  <c r="Q41" i="7"/>
  <c r="P41" i="7"/>
  <c r="T40" i="7"/>
  <c r="S40" i="7"/>
  <c r="Q40" i="7"/>
  <c r="P40" i="7"/>
  <c r="T39" i="7"/>
  <c r="S39" i="7"/>
  <c r="Q39" i="7"/>
  <c r="P39" i="7"/>
  <c r="T38" i="7"/>
  <c r="S38" i="7"/>
  <c r="Q38" i="7"/>
  <c r="P38" i="7"/>
  <c r="T37" i="7"/>
  <c r="S37" i="7"/>
  <c r="Q37" i="7"/>
  <c r="P37" i="7"/>
  <c r="T36" i="7"/>
  <c r="S36" i="7"/>
  <c r="Q36" i="7"/>
  <c r="P36" i="7"/>
  <c r="T35" i="7"/>
  <c r="S35" i="7"/>
  <c r="Q35" i="7"/>
  <c r="P35" i="7"/>
  <c r="T34" i="7"/>
  <c r="S34" i="7"/>
  <c r="Q34" i="7"/>
  <c r="P34" i="7"/>
  <c r="T33" i="7"/>
  <c r="S33" i="7"/>
  <c r="Q33" i="7"/>
  <c r="P33" i="7"/>
  <c r="T32" i="7"/>
  <c r="S32" i="7"/>
  <c r="Q32" i="7"/>
  <c r="P32" i="7"/>
  <c r="T31" i="7"/>
  <c r="S31" i="7"/>
  <c r="Q31" i="7"/>
  <c r="P31" i="7"/>
  <c r="T30" i="7"/>
  <c r="S30" i="7"/>
  <c r="Q30" i="7"/>
  <c r="P30" i="7"/>
  <c r="T29" i="7"/>
  <c r="S29" i="7"/>
  <c r="Q29" i="7"/>
  <c r="P29" i="7"/>
  <c r="T28" i="7"/>
  <c r="S28" i="7"/>
  <c r="Q28" i="7"/>
  <c r="P28" i="7"/>
  <c r="T27" i="7"/>
  <c r="S27" i="7"/>
  <c r="Q27" i="7"/>
  <c r="P27" i="7"/>
  <c r="T26" i="7"/>
  <c r="S26" i="7"/>
  <c r="Q26" i="7"/>
  <c r="P26" i="7"/>
  <c r="T25" i="7"/>
  <c r="S25" i="7"/>
  <c r="Q25" i="7"/>
  <c r="P25" i="7"/>
  <c r="T24" i="7"/>
  <c r="S24" i="7"/>
  <c r="Q24" i="7"/>
  <c r="P24" i="7"/>
  <c r="T23" i="7"/>
  <c r="S23" i="7"/>
  <c r="Q23" i="7"/>
  <c r="P23" i="7"/>
  <c r="T22" i="7"/>
  <c r="S22" i="7"/>
  <c r="Q22" i="7"/>
  <c r="P22" i="7"/>
  <c r="T21" i="7"/>
  <c r="S21" i="7"/>
  <c r="Q21" i="7"/>
  <c r="P21" i="7"/>
  <c r="T20" i="7"/>
  <c r="S20" i="7"/>
  <c r="Q20" i="7"/>
  <c r="P20" i="7"/>
  <c r="T19" i="7"/>
  <c r="S19" i="7"/>
  <c r="Q19" i="7"/>
  <c r="P19" i="7"/>
  <c r="T18" i="7"/>
  <c r="S18" i="7"/>
  <c r="Q18" i="7"/>
  <c r="P18" i="7"/>
  <c r="T17" i="7"/>
  <c r="S17" i="7"/>
  <c r="Q17" i="7"/>
  <c r="P17" i="7"/>
  <c r="T16" i="7"/>
  <c r="S16" i="7"/>
  <c r="Q16" i="7"/>
  <c r="P16" i="7"/>
  <c r="T15" i="7"/>
  <c r="S15" i="7"/>
  <c r="Q15" i="7"/>
  <c r="P15" i="7"/>
  <c r="T14" i="7"/>
  <c r="S14" i="7"/>
  <c r="Q14" i="7"/>
  <c r="P14" i="7"/>
  <c r="T13" i="7"/>
  <c r="S13" i="7"/>
  <c r="Q13" i="7"/>
  <c r="P13" i="7"/>
  <c r="T12" i="7"/>
  <c r="S12" i="7"/>
  <c r="Q12" i="7"/>
  <c r="P12" i="7"/>
  <c r="T11" i="7"/>
  <c r="S11" i="7"/>
  <c r="Q11" i="7"/>
  <c r="P11" i="7"/>
  <c r="T10" i="7"/>
  <c r="S10" i="7"/>
  <c r="Q10" i="7"/>
  <c r="P10" i="7"/>
  <c r="T9" i="7"/>
  <c r="S9" i="7"/>
  <c r="Q9" i="7"/>
  <c r="P9" i="7"/>
  <c r="T8" i="7"/>
  <c r="S8" i="7"/>
  <c r="Q8" i="7"/>
  <c r="P8" i="7"/>
  <c r="T7" i="7"/>
  <c r="S7" i="7"/>
  <c r="Q7" i="7"/>
  <c r="P7" i="7"/>
  <c r="T6" i="7"/>
  <c r="S6" i="7"/>
  <c r="Q6" i="7"/>
  <c r="P6" i="7"/>
  <c r="T5" i="7"/>
  <c r="S5" i="7"/>
  <c r="Q5" i="7"/>
  <c r="P5" i="7"/>
  <c r="T4" i="7"/>
  <c r="S4" i="7"/>
  <c r="Q4" i="7"/>
  <c r="R4" i="7" s="1"/>
  <c r="R5" i="7" s="1"/>
  <c r="R6" i="7" s="1"/>
  <c r="R7" i="7" s="1"/>
  <c r="R8" i="7" s="1"/>
  <c r="R9" i="7" s="1"/>
  <c r="R10" i="7" s="1"/>
  <c r="R11" i="7" s="1"/>
  <c r="R12" i="7" s="1"/>
  <c r="R13" i="7" s="1"/>
  <c r="R14" i="7" s="1"/>
  <c r="R15" i="7" s="1"/>
  <c r="R16" i="7" s="1"/>
  <c r="R17" i="7" s="1"/>
  <c r="R18" i="7" s="1"/>
  <c r="R19" i="7" s="1"/>
  <c r="R20" i="7" s="1"/>
  <c r="R21" i="7" s="1"/>
  <c r="R22" i="7" s="1"/>
  <c r="R23" i="7" s="1"/>
  <c r="R24" i="7" s="1"/>
  <c r="R25" i="7" s="1"/>
  <c r="R26" i="7" s="1"/>
  <c r="R27" i="7" s="1"/>
  <c r="R28" i="7" s="1"/>
  <c r="R29" i="7" s="1"/>
  <c r="R30" i="7" s="1"/>
  <c r="R31" i="7" s="1"/>
  <c r="R32" i="7" s="1"/>
  <c r="R33" i="7" s="1"/>
  <c r="R34" i="7" s="1"/>
  <c r="R35" i="7" s="1"/>
  <c r="R36" i="7" s="1"/>
  <c r="R37" i="7" s="1"/>
  <c r="R38" i="7" s="1"/>
  <c r="R39" i="7" s="1"/>
  <c r="R40" i="7" s="1"/>
  <c r="R41" i="7" s="1"/>
  <c r="R42" i="7" s="1"/>
  <c r="R43" i="7" s="1"/>
  <c r="R44" i="7" s="1"/>
  <c r="R45" i="7" s="1"/>
  <c r="R46" i="7" s="1"/>
  <c r="R47" i="7" s="1"/>
  <c r="R48" i="7" s="1"/>
  <c r="R49" i="7" s="1"/>
  <c r="R50" i="7" s="1"/>
  <c r="R51" i="7" s="1"/>
  <c r="R52" i="7" s="1"/>
  <c r="R53" i="7" s="1"/>
  <c r="R54" i="7" s="1"/>
  <c r="R55" i="7" s="1"/>
  <c r="R56" i="7" s="1"/>
  <c r="R57" i="7" s="1"/>
  <c r="R58" i="7" s="1"/>
  <c r="R59" i="7" s="1"/>
  <c r="R60" i="7" s="1"/>
  <c r="R61" i="7" s="1"/>
  <c r="R62" i="7" s="1"/>
  <c r="R63" i="7" s="1"/>
  <c r="R64" i="7" s="1"/>
  <c r="R65" i="7" s="1"/>
  <c r="R66" i="7" s="1"/>
  <c r="R67" i="7" s="1"/>
  <c r="R68" i="7" s="1"/>
  <c r="R69" i="7" s="1"/>
  <c r="R70" i="7" s="1"/>
  <c r="R71" i="7" s="1"/>
  <c r="R72" i="7" s="1"/>
  <c r="R73" i="7" s="1"/>
  <c r="R74" i="7" s="1"/>
  <c r="R75" i="7" s="1"/>
  <c r="R76" i="7" s="1"/>
  <c r="R77" i="7" s="1"/>
  <c r="R78" i="7" s="1"/>
  <c r="R79" i="7" s="1"/>
  <c r="R80" i="7" s="1"/>
  <c r="R81" i="7" s="1"/>
  <c r="R82" i="7" s="1"/>
  <c r="R83" i="7" s="1"/>
  <c r="R84" i="7" s="1"/>
  <c r="R85" i="7" s="1"/>
  <c r="R86" i="7" s="1"/>
  <c r="R87" i="7" s="1"/>
  <c r="R88" i="7" s="1"/>
  <c r="R89" i="7" s="1"/>
  <c r="R90" i="7" s="1"/>
  <c r="R91" i="7" s="1"/>
  <c r="R92" i="7" s="1"/>
  <c r="R93" i="7" s="1"/>
  <c r="R94" i="7" s="1"/>
  <c r="R95" i="7" s="1"/>
  <c r="R96" i="7" s="1"/>
  <c r="R97" i="7" s="1"/>
  <c r="R98" i="7" s="1"/>
  <c r="R99" i="7" s="1"/>
  <c r="R100" i="7" s="1"/>
  <c r="R101" i="7" s="1"/>
  <c r="R102" i="7" s="1"/>
  <c r="P4" i="7"/>
  <c r="T3" i="7"/>
  <c r="S3" i="7"/>
  <c r="Q3" i="7"/>
  <c r="P3" i="7"/>
</calcChain>
</file>

<file path=xl/sharedStrings.xml><?xml version="1.0" encoding="utf-8"?>
<sst xmlns="http://schemas.openxmlformats.org/spreadsheetml/2006/main" count="645" uniqueCount="141">
  <si>
    <t>ONS Retail Sales Index — Volume &amp; Value Data (2018–2026)</t>
  </si>
  <si>
    <t>Date (YYYY-MM)</t>
  </si>
  <si>
    <t>All Retail Vol</t>
  </si>
  <si>
    <t>Food Stores Vol</t>
  </si>
  <si>
    <t>Non-Food Vol</t>
  </si>
  <si>
    <t>Clothing Vol</t>
  </si>
  <si>
    <t>HH Goods Vol</t>
  </si>
  <si>
    <t>Non-Store Vol</t>
  </si>
  <si>
    <t>All Retail YoY%</t>
  </si>
  <si>
    <t>Food YoY%</t>
  </si>
  <si>
    <t>Clothing YoY%</t>
  </si>
  <si>
    <t>HH Goods YoY%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</si>
  <si>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</si>
  <si>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</si>
  <si>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</si>
  <si>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</si>
  <si>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</si>
  <si>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</si>
  <si>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</si>
  <si>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</si>
  <si>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</si>
  <si>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</si>
  <si>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</si>
  <si>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</si>
  <si>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</si>
  <si>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</si>
  <si>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</si>
  <si>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</si>
  <si>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</si>
  <si>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</si>
  <si>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</si>
  <si>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</si>
  <si>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</si>
  <si>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</si>
  <si>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</si>
  <si>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</si>
  <si>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</si>
  <si>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</si>
  <si>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</si>
  <si>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</si>
  <si>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</si>
  <si>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</si>
  <si>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</si>
  <si>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</si>
  <si>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</si>
  <si>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</si>
  <si>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</si>
  <si>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</si>
  <si>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</si>
  <si>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</si>
  <si>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</si>
  <si>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</si>
  <si>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</si>
  <si>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</si>
  <si>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</si>
  <si>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</si>
  <si>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</si>
  <si>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</si>
  <si>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</si>
  <si>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</si>
  <si>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</si>
  <si>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</si>
  <si>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</si>
  <si>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</si>
  <si>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</si>
  <si>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</si>
  <si>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</si>
  <si>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</si>
  <si>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</si>
  <si>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</si>
  <si>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</si>
  <si>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</si>
  <si>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</si>
  <si>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</si>
  <si>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</si>
  <si>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</si>
  <si>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</si>
  <si>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</si>
  <si>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</si>
  <si>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</si>
  <si>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</si>
  <si>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</si>
  <si>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</si>
  <si>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</si>
  <si>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</si>
  <si>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</si>
  <si>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</si>
  <si>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</si>
  <si>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</si>
  <si>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</si>
  <si>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</si>
  <si>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</si>
  <si>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</si>
  <si>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</si>
  <si>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</si>
  <si>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</si>
  <si>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</si>
  <si>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</si>
  <si>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</si>
  <si>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</si>
  <si>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</si>
  <si>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</si>
  <si>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</si>
  <si>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</si>
  <si>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</si>
  <si>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</si>
  <si>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</si>
  <si>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</si>
  <si>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</si>
  <si>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</si>
  <si>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</si>
  <si>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</si>
  <si>
    <t>ONS Consumer Prices Index — CPI YoY% (2018–2026)</t>
  </si>
  <si>
    <t>CPI YoY% (D7G7)</t>
  </si>
  <si>
    <t>Bank of England Official Base Rate — Monthly (2018–2026)</t>
  </si>
  <si>
    <t>BoE Base Rate (%)</t>
  </si>
  <si>
    <t>ONS Average Weekly Earnings — Total Pay YoY% (2018–2026)</t>
  </si>
  <si>
    <t>AWE Total Pay YoY% (KAC2)</t>
  </si>
  <si>
    <t>ONS Monthly GDP — Total GVA YoY% (2018–2026)</t>
  </si>
  <si>
    <t>GDP/GVA YoY% (ECY2)</t>
  </si>
  <si>
    <t>MASTER TABLE — Cleaned Joined Monthly Dataset | 2018-01 to 2026-04 | All Analysis Built From Here</t>
  </si>
  <si>
    <t>Date</t>
  </si>
  <si>
    <t>RSI All Vol</t>
  </si>
  <si>
    <t>RSI Food Vol</t>
  </si>
  <si>
    <t>RSI NonFood Vol</t>
  </si>
  <si>
    <t>RSI Clothing Vol</t>
  </si>
  <si>
    <t>RSI HH Goods Vol</t>
  </si>
  <si>
    <t>RSI NonStore Vol</t>
  </si>
  <si>
    <t>RSI Nom YoY%</t>
  </si>
  <si>
    <t>RSI Food YoY%</t>
  </si>
  <si>
    <t>RSI Cloth YoY%</t>
  </si>
  <si>
    <t>RSI HH YoY%</t>
  </si>
  <si>
    <t>CPI YoY%</t>
  </si>
  <si>
    <t>BoE Rate%</t>
  </si>
  <si>
    <t>AWE YoY%</t>
  </si>
  <si>
    <t>GDP YoY%</t>
  </si>
  <si>
    <t>Real RSI Growth%</t>
  </si>
  <si>
    <t>Purch Power Gap%</t>
  </si>
  <si>
    <t>Purch Power Idx</t>
  </si>
  <si>
    <t>Year</t>
  </si>
  <si>
    <t>Quarter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</si>
</sst>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</font>
    <font>
      <b/>
      <sz val="13"/>
      <color rgb="FFFFFFFF"/>
      <name val="Arial"/>
      <charset val="1"/>
    </font>
    <font>
      <b/>
      <sz val="9"/>
      <color rgb="FFFFFFFF"/>
      <name val="Arial"/>
      <charset val="1"/>
    </font>
    <font>
      <sz val="9"/>
      <color rgb="FF000000"/>
      <name val="Arial"/>
      <charset val="1"/>
    </font>
    <font>
      <b/>
      <sz val="12"/>
      <color rgb="FFFFFFFF"/>
      <name val="Arial"/>
      <charset val="1"/>
    </font>
    <font>
      <b/>
      <sz val="9"/>
      <color rgb="FF0000FF"/>
      <name val="Arial"/>
      <charset val="1"/>
    </font>
    <font>
      <sz val="9"/>
      <color rgb="FF0000FF"/>
      <name val="Arial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17375E"/>
      </patternFill>
    </fill>
    <fill>
      <patternFill patternType="solid">
        <fgColor rgb="FF17375E"/>
        <bgColor rgb="FF1F3864"/>
      </patternFill>
    </fill>
    <fill>
      <patternFill patternType="solid">
        <fgColor rgb="FFF5F5F5"/>
        <bgColor rgb="FFF9F9F9"/>
      </patternFill>
    </fill>
    <fill>
      <patternFill patternType="solid">
        <fgColor rgb="FFFFFFFF"/>
        <bgColor rgb="FFFAFAFA"/>
      </patternFill>
    </fill>
  </fills>
  <borders count="3">
    <border>
      <left/>
      <right/>
      <top/>
      <bottom/>
      <diagonal/>
    </border>
    <border>
      <left style="thin">
        <color rgb="FF888888"/>
      </left>
      <right style="thin">
        <color rgb="FF888888"/>
      </right>
      <top style="thin">
        <color rgb="FF888888"/>
      </top>
      <bottom style="thin">
        <color rgb="FF888888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">
    <xf numFmtId="0" fontId="0" fillId="0" borderId="0"/>
    <xf numFmtId="0" fontId="1" fillId="0" borderId="0"/>
  </cellStyleXfs>
  <cellXfs count="14">
    <xf numFmtId="0" fontId="0" fillId="0" borderId="0" xfId="0"/>
    <xf numFmtId="0" fontId="2" fillId="2" borderId="0" xfId="1" applyFont="1" applyFill="1" applyAlignment="1">
      <alignment horizontal="center" vertical="center" wrapText="1"/>
    </xf>
    <xf numFmtId="0" fontId="1" fillId="0" borderId="0" xfId="1"/>
    <xf numFmtId="0" fontId="3" fillId="3" borderId="1" xfId="1" applyFont="1" applyFill="1" applyBorder="1" applyAlignment="1">
      <alignment horizontal="center" vertical="center" wrapText="1"/>
    </xf>
    <xf numFmtId="0" fontId="4" fillId="4" borderId="2" xfId="1" applyFont="1" applyFill="1" applyBorder="1" applyAlignment="1">
      <alignment horizontal="center" vertical="center" wrapText="1"/>
    </xf>
    <xf numFmtId="0" fontId="4" fillId="5" borderId="2" xfId="1" applyFont="1" applyFill="1" applyBorder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3" fillId="2" borderId="1" xfId="1" applyFont="1" applyFill="1" applyBorder="1" applyAlignment="1">
      <alignment horizontal="center" vertical="center" wrapText="1"/>
    </xf>
    <xf numFmtId="0" fontId="6" fillId="4" borderId="2" xfId="1" applyFont="1" applyFill="1" applyBorder="1" applyAlignment="1">
      <alignment horizontal="center" vertical="center" wrapText="1"/>
    </xf>
    <xf numFmtId="164" fontId="7" fillId="4" borderId="2" xfId="1" applyNumberFormat="1" applyFont="1" applyFill="1" applyBorder="1" applyAlignment="1">
      <alignment horizontal="center" vertical="center" wrapText="1"/>
    </xf>
    <xf numFmtId="164" fontId="4" fillId="4" borderId="2" xfId="1" applyNumberFormat="1" applyFont="1" applyFill="1" applyBorder="1" applyAlignment="1">
      <alignment horizontal="center" vertical="center" wrapText="1"/>
    </xf>
    <xf numFmtId="0" fontId="6" fillId="5" borderId="2" xfId="1" applyFont="1" applyFill="1" applyBorder="1" applyAlignment="1">
      <alignment horizontal="center" vertical="center" wrapText="1"/>
    </xf>
    <xf numFmtId="164" fontId="7" fillId="5" borderId="2" xfId="1" applyNumberFormat="1" applyFont="1" applyFill="1" applyBorder="1" applyAlignment="1">
      <alignment horizontal="center" vertical="center" wrapText="1"/>
    </xf>
    <xf numFmtId="164" fontId="4" fillId="5" borderId="2" xfId="1" applyNumberFormat="1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62D2AC4B-474A-40A2-AE9D-A8EE7388508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BC0F75-DC12-4766-A76F-6B0FFE232058}">
  <dimension ref="A1:K102"/>
  <sheetViews>
    <sheetView showGridLines="0" tabSelected="1" zoomScaleNormal="100" workbookViewId="0">
      <selection activeCell="K14" sqref="K14"/>
    </sheetView>
  </sheetViews>
  <sheetFormatPr defaultColWidth="8.7109375" defaultRowHeight="15" x14ac:dyDescent="0.25"/>
  <cols>
    <col min="1" max="11" width="18" style="2" customWidth="1"/>
    <col min="12" max="16384" width="8.7109375" style="2"/>
  </cols>
  <sheetData>
    <row r="1" spans="1:11" ht="31.5" customHeigh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15" customHeight="1" x14ac:dyDescent="0.2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</row>
    <row r="3" spans="1:11" ht="15" customHeight="1" x14ac:dyDescent="0.25">
      <c r="A3" s="4" t="s">
        <v>12</v>
      </c>
      <c r="B3" s="4">
        <v>98.9</v>
      </c>
      <c r="C3" s="4">
        <v>101.5</v>
      </c>
      <c r="D3" s="4">
        <v>103.1</v>
      </c>
      <c r="E3" s="4">
        <v>98.9</v>
      </c>
      <c r="F3" s="4">
        <v>111.1</v>
      </c>
      <c r="G3" s="4">
        <v>71.8</v>
      </c>
      <c r="H3" s="4">
        <v>4.5999999999999996</v>
      </c>
      <c r="I3" s="4">
        <v>2.8</v>
      </c>
      <c r="J3" s="4">
        <v>5.0999999999999996</v>
      </c>
      <c r="K3" s="4">
        <v>3.1</v>
      </c>
    </row>
    <row r="4" spans="1:11" ht="15" customHeight="1" x14ac:dyDescent="0.25">
      <c r="A4" s="5" t="s">
        <v>13</v>
      </c>
      <c r="B4" s="5">
        <v>99.4</v>
      </c>
      <c r="C4" s="5">
        <v>102.5</v>
      </c>
      <c r="D4" s="5">
        <v>102.3</v>
      </c>
      <c r="E4" s="5">
        <v>98.5</v>
      </c>
      <c r="F4" s="5">
        <v>112</v>
      </c>
      <c r="G4" s="5">
        <v>74.2</v>
      </c>
      <c r="H4" s="5">
        <v>4.2</v>
      </c>
      <c r="I4" s="5">
        <v>2.7</v>
      </c>
      <c r="J4" s="5">
        <v>3.6</v>
      </c>
      <c r="K4" s="5">
        <v>1.7</v>
      </c>
    </row>
    <row r="5" spans="1:11" ht="15" customHeight="1" x14ac:dyDescent="0.25">
      <c r="A5" s="4" t="s">
        <v>14</v>
      </c>
      <c r="B5" s="4">
        <v>97.9</v>
      </c>
      <c r="C5" s="4">
        <v>101.4</v>
      </c>
      <c r="D5" s="4">
        <v>101.5</v>
      </c>
      <c r="E5" s="4">
        <v>97</v>
      </c>
      <c r="F5" s="4">
        <v>113.5</v>
      </c>
      <c r="G5" s="4">
        <v>72.7</v>
      </c>
      <c r="H5" s="4">
        <v>2.6</v>
      </c>
      <c r="I5" s="4">
        <v>1.3</v>
      </c>
      <c r="J5" s="4">
        <v>1.8</v>
      </c>
      <c r="K5" s="4">
        <v>-2.1</v>
      </c>
    </row>
    <row r="6" spans="1:11" ht="15" customHeight="1" x14ac:dyDescent="0.25">
      <c r="A6" s="5" t="s">
        <v>15</v>
      </c>
      <c r="B6" s="5">
        <v>99.4</v>
      </c>
      <c r="C6" s="5">
        <v>102.6</v>
      </c>
      <c r="D6" s="5">
        <v>102.6</v>
      </c>
      <c r="E6" s="5">
        <v>98.1</v>
      </c>
      <c r="F6" s="5">
        <v>114.4</v>
      </c>
      <c r="G6" s="5">
        <v>74.3</v>
      </c>
      <c r="H6" s="5">
        <v>2.7</v>
      </c>
      <c r="I6" s="5">
        <v>2.2999999999999998</v>
      </c>
      <c r="J6" s="5">
        <v>0.4</v>
      </c>
      <c r="K6" s="5">
        <v>-0.1</v>
      </c>
    </row>
    <row r="7" spans="1:11" ht="15" customHeight="1" x14ac:dyDescent="0.25">
      <c r="A7" s="4" t="s">
        <v>16</v>
      </c>
      <c r="B7" s="4">
        <v>101.2</v>
      </c>
      <c r="C7" s="4">
        <v>104.1</v>
      </c>
      <c r="D7" s="4">
        <v>104.2</v>
      </c>
      <c r="E7" s="4">
        <v>101</v>
      </c>
      <c r="F7" s="4">
        <v>114.2</v>
      </c>
      <c r="G7" s="4">
        <v>78.099999999999994</v>
      </c>
      <c r="H7" s="4">
        <v>6.4</v>
      </c>
      <c r="I7" s="4">
        <v>4.5999999999999996</v>
      </c>
      <c r="J7" s="4">
        <v>5</v>
      </c>
      <c r="K7" s="4">
        <v>2.6</v>
      </c>
    </row>
    <row r="8" spans="1:11" ht="15" customHeight="1" x14ac:dyDescent="0.25">
      <c r="A8" s="5" t="s">
        <v>17</v>
      </c>
      <c r="B8" s="5">
        <v>100.8</v>
      </c>
      <c r="C8" s="5">
        <v>104</v>
      </c>
      <c r="D8" s="5">
        <v>103.6</v>
      </c>
      <c r="E8" s="5">
        <v>101.3</v>
      </c>
      <c r="F8" s="5">
        <v>112</v>
      </c>
      <c r="G8" s="5">
        <v>77.7</v>
      </c>
      <c r="H8" s="5">
        <v>5.0999999999999996</v>
      </c>
      <c r="I8" s="5">
        <v>5.0999999999999996</v>
      </c>
      <c r="J8" s="5">
        <v>2.8</v>
      </c>
      <c r="K8" s="5">
        <v>0.6</v>
      </c>
    </row>
    <row r="9" spans="1:11" ht="15" customHeight="1" x14ac:dyDescent="0.25">
      <c r="A9" s="4" t="s">
        <v>18</v>
      </c>
      <c r="B9" s="4">
        <v>101.8</v>
      </c>
      <c r="C9" s="4">
        <v>104.8</v>
      </c>
      <c r="D9" s="4">
        <v>104.4</v>
      </c>
      <c r="E9" s="4">
        <v>103.6</v>
      </c>
      <c r="F9" s="4">
        <v>111.7</v>
      </c>
      <c r="G9" s="4">
        <v>81</v>
      </c>
      <c r="H9" s="4">
        <v>5.9</v>
      </c>
      <c r="I9" s="4">
        <v>5.2</v>
      </c>
      <c r="J9" s="4">
        <v>1.4</v>
      </c>
      <c r="K9" s="4">
        <v>2</v>
      </c>
    </row>
    <row r="10" spans="1:11" ht="15" customHeight="1" x14ac:dyDescent="0.25">
      <c r="A10" s="5" t="s">
        <v>19</v>
      </c>
      <c r="B10" s="5">
        <v>101.9</v>
      </c>
      <c r="C10" s="5">
        <v>104</v>
      </c>
      <c r="D10" s="5">
        <v>105.4</v>
      </c>
      <c r="E10" s="5">
        <v>100.3</v>
      </c>
      <c r="F10" s="5">
        <v>115.7</v>
      </c>
      <c r="G10" s="5">
        <v>82.1</v>
      </c>
      <c r="H10" s="5">
        <v>5.2</v>
      </c>
      <c r="I10" s="5">
        <v>4.2</v>
      </c>
      <c r="J10" s="5">
        <v>1.2</v>
      </c>
      <c r="K10" s="5">
        <v>-0.8</v>
      </c>
    </row>
    <row r="11" spans="1:11" ht="15" customHeight="1" x14ac:dyDescent="0.25">
      <c r="A11" s="4" t="s">
        <v>20</v>
      </c>
      <c r="B11" s="4">
        <v>101.7</v>
      </c>
      <c r="C11" s="4">
        <v>103.3</v>
      </c>
      <c r="D11" s="4">
        <v>105.5</v>
      </c>
      <c r="E11" s="4">
        <v>100.9</v>
      </c>
      <c r="F11" s="4">
        <v>117.6</v>
      </c>
      <c r="G11" s="4">
        <v>81.8</v>
      </c>
      <c r="H11" s="4">
        <v>4.5999999999999996</v>
      </c>
      <c r="I11" s="4">
        <v>3</v>
      </c>
      <c r="J11" s="4">
        <v>0.9</v>
      </c>
      <c r="K11" s="4">
        <v>-0.7</v>
      </c>
    </row>
    <row r="12" spans="1:11" ht="15" customHeight="1" x14ac:dyDescent="0.25">
      <c r="A12" s="5" t="s">
        <v>21</v>
      </c>
      <c r="B12" s="5">
        <v>101.1</v>
      </c>
      <c r="C12" s="5">
        <v>103.6</v>
      </c>
      <c r="D12" s="5">
        <v>104.2</v>
      </c>
      <c r="E12" s="5">
        <v>101</v>
      </c>
      <c r="F12" s="5">
        <v>116.1</v>
      </c>
      <c r="G12" s="5">
        <v>80.900000000000006</v>
      </c>
      <c r="H12" s="5">
        <v>3.7</v>
      </c>
      <c r="I12" s="5">
        <v>2.2999999999999998</v>
      </c>
      <c r="J12" s="5">
        <v>1.1000000000000001</v>
      </c>
      <c r="K12" s="5">
        <v>0.2</v>
      </c>
    </row>
    <row r="13" spans="1:11" ht="15" customHeight="1" x14ac:dyDescent="0.25">
      <c r="A13" s="4" t="s">
        <v>22</v>
      </c>
      <c r="B13" s="4">
        <v>102.5</v>
      </c>
      <c r="C13" s="4">
        <v>103.8</v>
      </c>
      <c r="D13" s="4">
        <v>105.9</v>
      </c>
      <c r="E13" s="4">
        <v>101.7</v>
      </c>
      <c r="F13" s="4">
        <v>117.4</v>
      </c>
      <c r="G13" s="4">
        <v>82.5</v>
      </c>
      <c r="H13" s="4">
        <v>4.4000000000000004</v>
      </c>
      <c r="I13" s="4">
        <v>2.4</v>
      </c>
      <c r="J13" s="4">
        <v>0</v>
      </c>
      <c r="K13" s="4">
        <v>0.9</v>
      </c>
    </row>
    <row r="14" spans="1:11" ht="15" customHeight="1" x14ac:dyDescent="0.25">
      <c r="A14" s="5" t="s">
        <v>23</v>
      </c>
      <c r="B14" s="5">
        <v>102.6</v>
      </c>
      <c r="C14" s="5">
        <v>104.1</v>
      </c>
      <c r="D14" s="5">
        <v>106.2</v>
      </c>
      <c r="E14" s="5">
        <v>103.2</v>
      </c>
      <c r="F14" s="5">
        <v>116.4</v>
      </c>
      <c r="G14" s="5">
        <v>82.2</v>
      </c>
      <c r="H14" s="5">
        <v>3.7</v>
      </c>
      <c r="I14" s="5">
        <v>3</v>
      </c>
      <c r="J14" s="5">
        <v>0.7</v>
      </c>
      <c r="K14" s="5">
        <v>3.3</v>
      </c>
    </row>
    <row r="15" spans="1:11" ht="15" customHeight="1" x14ac:dyDescent="0.25">
      <c r="A15" s="4" t="s">
        <v>24</v>
      </c>
      <c r="B15" s="4">
        <v>102.7</v>
      </c>
      <c r="C15" s="4">
        <v>104.9</v>
      </c>
      <c r="D15" s="4">
        <v>104.8</v>
      </c>
      <c r="E15" s="4">
        <v>103</v>
      </c>
      <c r="F15" s="4">
        <v>110.9</v>
      </c>
      <c r="G15" s="4">
        <v>81</v>
      </c>
      <c r="H15" s="4">
        <v>4.3</v>
      </c>
      <c r="I15" s="4">
        <v>4.5</v>
      </c>
      <c r="J15" s="4">
        <v>-0.5</v>
      </c>
      <c r="K15" s="4">
        <v>3.4</v>
      </c>
    </row>
    <row r="16" spans="1:11" ht="15" customHeight="1" x14ac:dyDescent="0.25">
      <c r="A16" s="5" t="s">
        <v>25</v>
      </c>
      <c r="B16" s="5">
        <v>103</v>
      </c>
      <c r="C16" s="5">
        <v>103.7</v>
      </c>
      <c r="D16" s="5">
        <v>105.3</v>
      </c>
      <c r="E16" s="5">
        <v>102.5</v>
      </c>
      <c r="F16" s="5">
        <v>110</v>
      </c>
      <c r="G16" s="5">
        <v>84.5</v>
      </c>
      <c r="H16" s="5">
        <v>4.4000000000000004</v>
      </c>
      <c r="I16" s="5">
        <v>2.6</v>
      </c>
      <c r="J16" s="5">
        <v>-0.2</v>
      </c>
      <c r="K16" s="5">
        <v>2.9</v>
      </c>
    </row>
    <row r="17" spans="1:11" ht="15" customHeight="1" x14ac:dyDescent="0.25">
      <c r="A17" s="4" t="s">
        <v>26</v>
      </c>
      <c r="B17" s="4">
        <v>104.3</v>
      </c>
      <c r="C17" s="4">
        <v>104.2</v>
      </c>
      <c r="D17" s="4">
        <v>106.9</v>
      </c>
      <c r="E17" s="4">
        <v>104.2</v>
      </c>
      <c r="F17" s="4">
        <v>112.9</v>
      </c>
      <c r="G17" s="4">
        <v>87.2</v>
      </c>
      <c r="H17" s="4">
        <v>7.1</v>
      </c>
      <c r="I17" s="4">
        <v>4.0999999999999996</v>
      </c>
      <c r="J17" s="4">
        <v>-1.9</v>
      </c>
      <c r="K17" s="4">
        <v>6.4</v>
      </c>
    </row>
    <row r="18" spans="1:11" ht="15" customHeight="1" x14ac:dyDescent="0.25">
      <c r="A18" s="5" t="s">
        <v>27</v>
      </c>
      <c r="B18" s="5">
        <v>103.8</v>
      </c>
      <c r="C18" s="5">
        <v>104.7</v>
      </c>
      <c r="D18" s="5">
        <v>105.5</v>
      </c>
      <c r="E18" s="5">
        <v>105.6</v>
      </c>
      <c r="F18" s="5">
        <v>110.3</v>
      </c>
      <c r="G18" s="5">
        <v>87.4</v>
      </c>
      <c r="H18" s="5">
        <v>4.9000000000000004</v>
      </c>
      <c r="I18" s="5">
        <v>3</v>
      </c>
      <c r="J18" s="5">
        <v>-0.7</v>
      </c>
      <c r="K18" s="5">
        <v>6.6</v>
      </c>
    </row>
    <row r="19" spans="1:11" ht="15" customHeight="1" x14ac:dyDescent="0.25">
      <c r="A19" s="4" t="s">
        <v>28</v>
      </c>
      <c r="B19" s="4">
        <v>102.9</v>
      </c>
      <c r="C19" s="4">
        <v>104</v>
      </c>
      <c r="D19" s="4">
        <v>104.7</v>
      </c>
      <c r="E19" s="4">
        <v>100.8</v>
      </c>
      <c r="F19" s="4">
        <v>111</v>
      </c>
      <c r="G19" s="4">
        <v>87.1</v>
      </c>
      <c r="H19" s="4">
        <v>2.2999999999999998</v>
      </c>
      <c r="I19" s="4">
        <v>0.9</v>
      </c>
      <c r="J19" s="4">
        <v>-3.5</v>
      </c>
      <c r="K19" s="4">
        <v>-1</v>
      </c>
    </row>
    <row r="20" spans="1:11" ht="15" customHeight="1" x14ac:dyDescent="0.25">
      <c r="A20" s="5" t="s">
        <v>29</v>
      </c>
      <c r="B20" s="5">
        <v>104.2</v>
      </c>
      <c r="C20" s="5">
        <v>103.8</v>
      </c>
      <c r="D20" s="5">
        <v>107.4</v>
      </c>
      <c r="E20" s="5">
        <v>104.6</v>
      </c>
      <c r="F20" s="5">
        <v>112.2</v>
      </c>
      <c r="G20" s="5">
        <v>88.2</v>
      </c>
      <c r="H20" s="5">
        <v>4.0999999999999996</v>
      </c>
      <c r="I20" s="5">
        <v>1.5</v>
      </c>
      <c r="J20" s="5">
        <v>-3.1</v>
      </c>
      <c r="K20" s="5">
        <v>3.3</v>
      </c>
    </row>
    <row r="21" spans="1:11" ht="15" customHeight="1" x14ac:dyDescent="0.25">
      <c r="A21" s="4" t="s">
        <v>30</v>
      </c>
      <c r="B21" s="4">
        <v>105.3</v>
      </c>
      <c r="C21" s="4">
        <v>104.7</v>
      </c>
      <c r="D21" s="4">
        <v>106.1</v>
      </c>
      <c r="E21" s="4">
        <v>104.9</v>
      </c>
      <c r="F21" s="4">
        <v>108.2</v>
      </c>
      <c r="G21" s="4">
        <v>97.6</v>
      </c>
      <c r="H21" s="4">
        <v>4.4000000000000004</v>
      </c>
      <c r="I21" s="4">
        <v>1.6</v>
      </c>
      <c r="J21" s="4">
        <v>-1</v>
      </c>
      <c r="K21" s="4">
        <v>1.9</v>
      </c>
    </row>
    <row r="22" spans="1:11" ht="15" customHeight="1" x14ac:dyDescent="0.25">
      <c r="A22" s="5" t="s">
        <v>31</v>
      </c>
      <c r="B22" s="5">
        <v>104.4</v>
      </c>
      <c r="C22" s="5">
        <v>104.6</v>
      </c>
      <c r="D22" s="5">
        <v>105.6</v>
      </c>
      <c r="E22" s="5">
        <v>103.6</v>
      </c>
      <c r="F22" s="5">
        <v>109.6</v>
      </c>
      <c r="G22" s="5">
        <v>93.6</v>
      </c>
      <c r="H22" s="5">
        <v>3.1</v>
      </c>
      <c r="I22" s="5">
        <v>2.4</v>
      </c>
      <c r="J22" s="5">
        <v>-2.5</v>
      </c>
      <c r="K22" s="5">
        <v>2.9</v>
      </c>
    </row>
    <row r="23" spans="1:11" ht="15" customHeight="1" x14ac:dyDescent="0.25">
      <c r="A23" s="4" t="s">
        <v>32</v>
      </c>
      <c r="B23" s="4">
        <v>104.4</v>
      </c>
      <c r="C23" s="4">
        <v>105.4</v>
      </c>
      <c r="D23" s="4">
        <v>105.5</v>
      </c>
      <c r="E23" s="4">
        <v>103.5</v>
      </c>
      <c r="F23" s="4">
        <v>113</v>
      </c>
      <c r="G23" s="4">
        <v>92.9</v>
      </c>
      <c r="H23" s="4">
        <v>3.2</v>
      </c>
      <c r="I23" s="4">
        <v>3.7</v>
      </c>
      <c r="J23" s="4">
        <v>-3.6</v>
      </c>
      <c r="K23" s="4">
        <v>2.2000000000000002</v>
      </c>
    </row>
    <row r="24" spans="1:11" ht="15" customHeight="1" x14ac:dyDescent="0.25">
      <c r="A24" s="5" t="s">
        <v>33</v>
      </c>
      <c r="B24" s="5">
        <v>103.9</v>
      </c>
      <c r="C24" s="5">
        <v>105.5</v>
      </c>
      <c r="D24" s="5">
        <v>104.2</v>
      </c>
      <c r="E24" s="5">
        <v>102.4</v>
      </c>
      <c r="F24" s="5">
        <v>111.3</v>
      </c>
      <c r="G24" s="5">
        <v>91.4</v>
      </c>
      <c r="H24" s="5">
        <v>3.1</v>
      </c>
      <c r="I24" s="5">
        <v>3.4</v>
      </c>
      <c r="J24" s="5">
        <v>-0.8</v>
      </c>
      <c r="K24" s="5">
        <v>1.7</v>
      </c>
    </row>
    <row r="25" spans="1:11" ht="15" customHeight="1" x14ac:dyDescent="0.25">
      <c r="A25" s="4" t="s">
        <v>34</v>
      </c>
      <c r="B25" s="4">
        <v>103.4</v>
      </c>
      <c r="C25" s="4">
        <v>104.4</v>
      </c>
      <c r="D25" s="4">
        <v>104.1</v>
      </c>
      <c r="E25" s="4">
        <v>99.5</v>
      </c>
      <c r="F25" s="4">
        <v>110.6</v>
      </c>
      <c r="G25" s="4">
        <v>91.1</v>
      </c>
      <c r="H25" s="4">
        <v>1.4</v>
      </c>
      <c r="I25" s="4">
        <v>2.4</v>
      </c>
      <c r="J25" s="4">
        <v>2.2000000000000002</v>
      </c>
      <c r="K25" s="4">
        <v>-1.9</v>
      </c>
    </row>
    <row r="26" spans="1:11" ht="15" customHeight="1" x14ac:dyDescent="0.25">
      <c r="A26" s="5" t="s">
        <v>35</v>
      </c>
      <c r="B26" s="5">
        <v>104.4</v>
      </c>
      <c r="C26" s="5">
        <v>105.7</v>
      </c>
      <c r="D26" s="5">
        <v>104.8</v>
      </c>
      <c r="E26" s="5">
        <v>101.6</v>
      </c>
      <c r="F26" s="5">
        <v>111.7</v>
      </c>
      <c r="G26" s="5">
        <v>91.9</v>
      </c>
      <c r="H26" s="5">
        <v>2.7</v>
      </c>
      <c r="I26" s="5">
        <v>3.5</v>
      </c>
      <c r="J26" s="5">
        <v>-3</v>
      </c>
      <c r="K26" s="5">
        <v>-1.6</v>
      </c>
    </row>
    <row r="27" spans="1:11" ht="15" customHeight="1" x14ac:dyDescent="0.25">
      <c r="A27" s="4" t="s">
        <v>36</v>
      </c>
      <c r="B27" s="4">
        <v>104.3</v>
      </c>
      <c r="C27" s="4">
        <v>105.4</v>
      </c>
      <c r="D27" s="4">
        <v>106</v>
      </c>
      <c r="E27" s="4">
        <v>103.9</v>
      </c>
      <c r="F27" s="4">
        <v>110.5</v>
      </c>
      <c r="G27" s="4">
        <v>90.4</v>
      </c>
      <c r="H27" s="4">
        <v>3</v>
      </c>
      <c r="I27" s="4">
        <v>2.2999999999999998</v>
      </c>
      <c r="J27" s="4">
        <v>-1.2</v>
      </c>
      <c r="K27" s="4">
        <v>1.3</v>
      </c>
    </row>
    <row r="28" spans="1:11" ht="15" customHeight="1" x14ac:dyDescent="0.25">
      <c r="A28" s="5" t="s">
        <v>37</v>
      </c>
      <c r="B28" s="5">
        <v>103.8</v>
      </c>
      <c r="C28" s="5">
        <v>104.9</v>
      </c>
      <c r="D28" s="5">
        <v>105.1</v>
      </c>
      <c r="E28" s="5">
        <v>101.8</v>
      </c>
      <c r="F28" s="5">
        <v>111.4</v>
      </c>
      <c r="G28" s="5">
        <v>90.2</v>
      </c>
      <c r="H28" s="5">
        <v>1.4</v>
      </c>
      <c r="I28" s="5">
        <v>2.6</v>
      </c>
      <c r="J28" s="5">
        <v>-2.6</v>
      </c>
      <c r="K28" s="5">
        <v>-0.7</v>
      </c>
    </row>
    <row r="29" spans="1:11" ht="15" customHeight="1" x14ac:dyDescent="0.25">
      <c r="A29" s="4" t="s">
        <v>38</v>
      </c>
      <c r="B29" s="4">
        <v>97.4</v>
      </c>
      <c r="C29" s="4">
        <v>113.4</v>
      </c>
      <c r="D29" s="4">
        <v>84.2</v>
      </c>
      <c r="E29" s="4">
        <v>65.599999999999994</v>
      </c>
      <c r="F29" s="4">
        <v>101.2</v>
      </c>
      <c r="G29" s="4">
        <v>93.6</v>
      </c>
      <c r="H29" s="4">
        <v>-6.6</v>
      </c>
      <c r="I29" s="4">
        <v>10.1</v>
      </c>
      <c r="J29" s="4">
        <v>-0.8</v>
      </c>
      <c r="K29" s="4">
        <v>-37.9</v>
      </c>
    </row>
    <row r="30" spans="1:11" ht="15" customHeight="1" x14ac:dyDescent="0.25">
      <c r="A30" s="5" t="s">
        <v>39</v>
      </c>
      <c r="B30" s="5">
        <v>79.900000000000006</v>
      </c>
      <c r="C30" s="5">
        <v>109.7</v>
      </c>
      <c r="D30" s="5">
        <v>49</v>
      </c>
      <c r="E30" s="5">
        <v>32.299999999999997</v>
      </c>
      <c r="F30" s="5">
        <v>54.3</v>
      </c>
      <c r="G30" s="5">
        <v>112</v>
      </c>
      <c r="H30" s="5">
        <v>-24</v>
      </c>
      <c r="I30" s="5">
        <v>5.8</v>
      </c>
      <c r="J30" s="5">
        <v>-24.7</v>
      </c>
      <c r="K30" s="5">
        <v>-70.3</v>
      </c>
    </row>
    <row r="31" spans="1:11" ht="15" customHeight="1" x14ac:dyDescent="0.25">
      <c r="A31" s="4" t="s">
        <v>40</v>
      </c>
      <c r="B31" s="4">
        <v>90.8</v>
      </c>
      <c r="C31" s="4">
        <v>111.6</v>
      </c>
      <c r="D31" s="4">
        <v>61.5</v>
      </c>
      <c r="E31" s="4">
        <v>38.700000000000003</v>
      </c>
      <c r="F31" s="4">
        <v>77.7</v>
      </c>
      <c r="G31" s="4">
        <v>137.4</v>
      </c>
      <c r="H31" s="4">
        <v>-13.5</v>
      </c>
      <c r="I31" s="4">
        <v>8.4</v>
      </c>
      <c r="J31" s="4">
        <v>-13.8</v>
      </c>
      <c r="K31" s="4">
        <v>-62.7</v>
      </c>
    </row>
    <row r="32" spans="1:11" ht="15" customHeight="1" x14ac:dyDescent="0.25">
      <c r="A32" s="5" t="s">
        <v>41</v>
      </c>
      <c r="B32" s="5">
        <v>102.1</v>
      </c>
      <c r="C32" s="5">
        <v>110.6</v>
      </c>
      <c r="D32" s="5">
        <v>88.6</v>
      </c>
      <c r="E32" s="5">
        <v>67.900000000000006</v>
      </c>
      <c r="F32" s="5">
        <v>110.9</v>
      </c>
      <c r="G32" s="5">
        <v>137.4</v>
      </c>
      <c r="H32" s="5">
        <v>-3.8</v>
      </c>
      <c r="I32" s="5">
        <v>7</v>
      </c>
      <c r="J32" s="5">
        <v>-7.2</v>
      </c>
      <c r="K32" s="5">
        <v>-36.4</v>
      </c>
    </row>
    <row r="33" spans="1:11" ht="15" customHeight="1" x14ac:dyDescent="0.25">
      <c r="A33" s="4" t="s">
        <v>42</v>
      </c>
      <c r="B33" s="4">
        <v>107.1</v>
      </c>
      <c r="C33" s="4">
        <v>108.2</v>
      </c>
      <c r="D33" s="4">
        <v>100.7</v>
      </c>
      <c r="E33" s="4">
        <v>79.8</v>
      </c>
      <c r="F33" s="4">
        <v>121.1</v>
      </c>
      <c r="G33" s="4">
        <v>131.80000000000001</v>
      </c>
      <c r="H33" s="4">
        <v>0.4</v>
      </c>
      <c r="I33" s="4">
        <v>3.6</v>
      </c>
      <c r="J33" s="4">
        <v>-6.4</v>
      </c>
      <c r="K33" s="4">
        <v>-24.2</v>
      </c>
    </row>
    <row r="34" spans="1:11" ht="15" customHeight="1" x14ac:dyDescent="0.25">
      <c r="A34" s="5" t="s">
        <v>43</v>
      </c>
      <c r="B34" s="5">
        <v>108.5</v>
      </c>
      <c r="C34" s="5">
        <v>110.1</v>
      </c>
      <c r="D34" s="5">
        <v>102.8</v>
      </c>
      <c r="E34" s="5">
        <v>88.4</v>
      </c>
      <c r="F34" s="5">
        <v>123.5</v>
      </c>
      <c r="G34" s="5">
        <v>127.7</v>
      </c>
      <c r="H34" s="5">
        <v>2.2000000000000002</v>
      </c>
      <c r="I34" s="5">
        <v>5.0999999999999996</v>
      </c>
      <c r="J34" s="5">
        <v>-4.3</v>
      </c>
      <c r="K34" s="5">
        <v>-15.9</v>
      </c>
    </row>
    <row r="35" spans="1:11" ht="15" customHeight="1" x14ac:dyDescent="0.25">
      <c r="A35" s="4" t="s">
        <v>44</v>
      </c>
      <c r="B35" s="4">
        <v>110.2</v>
      </c>
      <c r="C35" s="4">
        <v>111</v>
      </c>
      <c r="D35" s="4">
        <v>106.8</v>
      </c>
      <c r="E35" s="4">
        <v>89.9</v>
      </c>
      <c r="F35" s="4">
        <v>127.1</v>
      </c>
      <c r="G35" s="4">
        <v>126</v>
      </c>
      <c r="H35" s="4">
        <v>3.8</v>
      </c>
      <c r="I35" s="4">
        <v>5</v>
      </c>
      <c r="J35" s="4">
        <v>-0.5</v>
      </c>
      <c r="K35" s="4">
        <v>-14.1</v>
      </c>
    </row>
    <row r="36" spans="1:11" ht="15" customHeight="1" x14ac:dyDescent="0.25">
      <c r="A36" s="5" t="s">
        <v>45</v>
      </c>
      <c r="B36" s="5">
        <v>111.3</v>
      </c>
      <c r="C36" s="5">
        <v>109.6</v>
      </c>
      <c r="D36" s="5">
        <v>107.9</v>
      </c>
      <c r="E36" s="5">
        <v>88.6</v>
      </c>
      <c r="F36" s="5">
        <v>132.69999999999999</v>
      </c>
      <c r="G36" s="5">
        <v>134.19999999999999</v>
      </c>
      <c r="H36" s="5">
        <v>5.7</v>
      </c>
      <c r="I36" s="5">
        <v>3.9</v>
      </c>
      <c r="J36" s="5">
        <v>0.5</v>
      </c>
      <c r="K36" s="5">
        <v>-13.6</v>
      </c>
    </row>
    <row r="37" spans="1:11" ht="15" customHeight="1" x14ac:dyDescent="0.25">
      <c r="A37" s="4" t="s">
        <v>46</v>
      </c>
      <c r="B37" s="4">
        <v>106.1</v>
      </c>
      <c r="C37" s="4">
        <v>111.7</v>
      </c>
      <c r="D37" s="4">
        <v>96.5</v>
      </c>
      <c r="E37" s="4">
        <v>69.2</v>
      </c>
      <c r="F37" s="4">
        <v>126.3</v>
      </c>
      <c r="G37" s="4">
        <v>133.19999999999999</v>
      </c>
      <c r="H37" s="4">
        <v>0.6</v>
      </c>
      <c r="I37" s="4">
        <v>6.5</v>
      </c>
      <c r="J37" s="4">
        <v>-2.6</v>
      </c>
      <c r="K37" s="4">
        <v>-32.299999999999997</v>
      </c>
    </row>
    <row r="38" spans="1:11" ht="15" customHeight="1" x14ac:dyDescent="0.25">
      <c r="A38" s="5" t="s">
        <v>47</v>
      </c>
      <c r="B38" s="5">
        <v>107.2</v>
      </c>
      <c r="C38" s="5">
        <v>107.4</v>
      </c>
      <c r="D38" s="5">
        <v>105.4</v>
      </c>
      <c r="E38" s="5">
        <v>90.1</v>
      </c>
      <c r="F38" s="5">
        <v>126.6</v>
      </c>
      <c r="G38" s="5">
        <v>123.8</v>
      </c>
      <c r="H38" s="5">
        <v>1.2</v>
      </c>
      <c r="I38" s="5">
        <v>0.8</v>
      </c>
      <c r="J38" s="5">
        <v>-4.5999999999999996</v>
      </c>
      <c r="K38" s="5">
        <v>-12.3</v>
      </c>
    </row>
    <row r="39" spans="1:11" ht="15" customHeight="1" x14ac:dyDescent="0.25">
      <c r="A39" s="4" t="s">
        <v>48</v>
      </c>
      <c r="B39" s="4">
        <v>99</v>
      </c>
      <c r="C39" s="4">
        <v>111</v>
      </c>
      <c r="D39" s="4">
        <v>78.7</v>
      </c>
      <c r="E39" s="4">
        <v>55.9</v>
      </c>
      <c r="F39" s="4">
        <v>98.8</v>
      </c>
      <c r="G39" s="4">
        <v>136</v>
      </c>
      <c r="H39" s="4">
        <v>-6.1</v>
      </c>
      <c r="I39" s="4">
        <v>5</v>
      </c>
      <c r="J39" s="4">
        <v>-16.600000000000001</v>
      </c>
      <c r="K39" s="4">
        <v>-47.4</v>
      </c>
    </row>
    <row r="40" spans="1:11" ht="15" customHeight="1" x14ac:dyDescent="0.25">
      <c r="A40" s="5" t="s">
        <v>49</v>
      </c>
      <c r="B40" s="5">
        <v>99.9</v>
      </c>
      <c r="C40" s="5">
        <v>112.2</v>
      </c>
      <c r="D40" s="5">
        <v>81.400000000000006</v>
      </c>
      <c r="E40" s="5">
        <v>52.9</v>
      </c>
      <c r="F40" s="5">
        <v>112.7</v>
      </c>
      <c r="G40" s="5">
        <v>132.19999999999999</v>
      </c>
      <c r="H40" s="5">
        <v>-4.3</v>
      </c>
      <c r="I40" s="5">
        <v>6.7</v>
      </c>
      <c r="J40" s="5">
        <v>-4.0999999999999996</v>
      </c>
      <c r="K40" s="5">
        <v>-50</v>
      </c>
    </row>
    <row r="41" spans="1:11" ht="15" customHeight="1" x14ac:dyDescent="0.25">
      <c r="A41" s="4" t="s">
        <v>50</v>
      </c>
      <c r="B41" s="4">
        <v>104</v>
      </c>
      <c r="C41" s="4">
        <v>113.7</v>
      </c>
      <c r="D41" s="4">
        <v>88.5</v>
      </c>
      <c r="E41" s="4">
        <v>60.6</v>
      </c>
      <c r="F41" s="4">
        <v>117.5</v>
      </c>
      <c r="G41" s="4">
        <v>130.19999999999999</v>
      </c>
      <c r="H41" s="4">
        <v>7</v>
      </c>
      <c r="I41" s="4">
        <v>-0.2</v>
      </c>
      <c r="J41" s="4">
        <v>-0.2</v>
      </c>
      <c r="K41" s="4">
        <v>-9.3000000000000007</v>
      </c>
    </row>
    <row r="42" spans="1:11" ht="15" customHeight="1" x14ac:dyDescent="0.25">
      <c r="A42" s="5" t="s">
        <v>51</v>
      </c>
      <c r="B42" s="5">
        <v>112.7</v>
      </c>
      <c r="C42" s="5">
        <v>112.5</v>
      </c>
      <c r="D42" s="5">
        <v>109.8</v>
      </c>
      <c r="E42" s="5">
        <v>99.5</v>
      </c>
      <c r="F42" s="5">
        <v>131.4</v>
      </c>
      <c r="G42" s="5">
        <v>129.5</v>
      </c>
      <c r="H42" s="5">
        <v>43.4</v>
      </c>
      <c r="I42" s="5">
        <v>3</v>
      </c>
      <c r="J42" s="5">
        <v>35.4</v>
      </c>
      <c r="K42" s="5">
        <v>212.7</v>
      </c>
    </row>
    <row r="43" spans="1:11" ht="15" customHeight="1" x14ac:dyDescent="0.25">
      <c r="A43" s="4" t="s">
        <v>52</v>
      </c>
      <c r="B43" s="4">
        <v>110.5</v>
      </c>
      <c r="C43" s="4">
        <v>107.2</v>
      </c>
      <c r="D43" s="4">
        <v>111.4</v>
      </c>
      <c r="E43" s="4">
        <v>95.8</v>
      </c>
      <c r="F43" s="4">
        <v>135.6</v>
      </c>
      <c r="G43" s="4">
        <v>122.3</v>
      </c>
      <c r="H43" s="4">
        <v>25.2</v>
      </c>
      <c r="I43" s="4">
        <v>-3.8</v>
      </c>
      <c r="J43" s="4">
        <v>14.4</v>
      </c>
      <c r="K43" s="4">
        <v>154.4</v>
      </c>
    </row>
    <row r="44" spans="1:11" ht="15" customHeight="1" x14ac:dyDescent="0.25">
      <c r="A44" s="5" t="s">
        <v>53</v>
      </c>
      <c r="B44" s="5">
        <v>111.2</v>
      </c>
      <c r="C44" s="5">
        <v>110.4</v>
      </c>
      <c r="D44" s="5">
        <v>110.1</v>
      </c>
      <c r="E44" s="5">
        <v>96.4</v>
      </c>
      <c r="F44" s="5">
        <v>125.1</v>
      </c>
      <c r="G44" s="5">
        <v>120.5</v>
      </c>
      <c r="H44" s="5">
        <v>12.8</v>
      </c>
      <c r="I44" s="5">
        <v>0.6</v>
      </c>
      <c r="J44" s="5">
        <v>4</v>
      </c>
      <c r="K44" s="5">
        <v>46.4</v>
      </c>
    </row>
    <row r="45" spans="1:11" ht="15" customHeight="1" x14ac:dyDescent="0.25">
      <c r="A45" s="4" t="s">
        <v>54</v>
      </c>
      <c r="B45" s="4">
        <v>108.8</v>
      </c>
      <c r="C45" s="4">
        <v>109.9</v>
      </c>
      <c r="D45" s="4">
        <v>106</v>
      </c>
      <c r="E45" s="4">
        <v>94.2</v>
      </c>
      <c r="F45" s="4">
        <v>121.1</v>
      </c>
      <c r="G45" s="4">
        <v>115</v>
      </c>
      <c r="H45" s="4">
        <v>5</v>
      </c>
      <c r="I45" s="4">
        <v>2</v>
      </c>
      <c r="J45" s="4">
        <v>1</v>
      </c>
      <c r="K45" s="4">
        <v>20.3</v>
      </c>
    </row>
    <row r="46" spans="1:11" ht="15" customHeight="1" x14ac:dyDescent="0.25">
      <c r="A46" s="5" t="s">
        <v>55</v>
      </c>
      <c r="B46" s="5">
        <v>108.9</v>
      </c>
      <c r="C46" s="5">
        <v>108.7</v>
      </c>
      <c r="D46" s="5">
        <v>107.1</v>
      </c>
      <c r="E46" s="5">
        <v>98.3</v>
      </c>
      <c r="F46" s="5">
        <v>118.1</v>
      </c>
      <c r="G46" s="5">
        <v>114.4</v>
      </c>
      <c r="H46" s="5">
        <v>4.3</v>
      </c>
      <c r="I46" s="5">
        <v>0.1</v>
      </c>
      <c r="J46" s="5">
        <v>-0.5</v>
      </c>
      <c r="K46" s="5">
        <v>13.5</v>
      </c>
    </row>
    <row r="47" spans="1:11" ht="15" customHeight="1" x14ac:dyDescent="0.25">
      <c r="A47" s="4" t="s">
        <v>56</v>
      </c>
      <c r="B47" s="4">
        <v>109</v>
      </c>
      <c r="C47" s="4">
        <v>108.3</v>
      </c>
      <c r="D47" s="4">
        <v>106.9</v>
      </c>
      <c r="E47" s="4">
        <v>100</v>
      </c>
      <c r="F47" s="4">
        <v>111.9</v>
      </c>
      <c r="G47" s="4">
        <v>115.8</v>
      </c>
      <c r="H47" s="4">
        <v>3.2</v>
      </c>
      <c r="I47" s="4">
        <v>-0.6</v>
      </c>
      <c r="J47" s="4">
        <v>0.4</v>
      </c>
      <c r="K47" s="4">
        <v>13.3</v>
      </c>
    </row>
    <row r="48" spans="1:11" ht="15" customHeight="1" x14ac:dyDescent="0.25">
      <c r="A48" s="5" t="s">
        <v>57</v>
      </c>
      <c r="B48" s="5">
        <v>108.8</v>
      </c>
      <c r="C48" s="5">
        <v>108.7</v>
      </c>
      <c r="D48" s="5">
        <v>109.1</v>
      </c>
      <c r="E48" s="5">
        <v>103</v>
      </c>
      <c r="F48" s="5">
        <v>114.8</v>
      </c>
      <c r="G48" s="5">
        <v>112.6</v>
      </c>
      <c r="H48" s="5">
        <v>2.6</v>
      </c>
      <c r="I48" s="5">
        <v>1.4</v>
      </c>
      <c r="J48" s="5">
        <v>-1</v>
      </c>
      <c r="K48" s="5">
        <v>17.8</v>
      </c>
    </row>
    <row r="49" spans="1:11" ht="15" customHeight="1" x14ac:dyDescent="0.25">
      <c r="A49" s="4" t="s">
        <v>58</v>
      </c>
      <c r="B49" s="4">
        <v>108.5</v>
      </c>
      <c r="C49" s="4">
        <v>107.4</v>
      </c>
      <c r="D49" s="4">
        <v>107.9</v>
      </c>
      <c r="E49" s="4">
        <v>103.1</v>
      </c>
      <c r="F49" s="4">
        <v>110.8</v>
      </c>
      <c r="G49" s="4">
        <v>113.3</v>
      </c>
      <c r="H49" s="4">
        <v>9.4</v>
      </c>
      <c r="I49" s="4">
        <v>-0.3</v>
      </c>
      <c r="J49" s="4">
        <v>-2.2000000000000002</v>
      </c>
      <c r="K49" s="4">
        <v>55.6</v>
      </c>
    </row>
    <row r="50" spans="1:11" ht="15" customHeight="1" x14ac:dyDescent="0.25">
      <c r="A50" s="5" t="s">
        <v>59</v>
      </c>
      <c r="B50" s="5">
        <v>108.6</v>
      </c>
      <c r="C50" s="5">
        <v>108.3</v>
      </c>
      <c r="D50" s="5">
        <v>106.4</v>
      </c>
      <c r="E50" s="5">
        <v>100.2</v>
      </c>
      <c r="F50" s="5">
        <v>115.6</v>
      </c>
      <c r="G50" s="5">
        <v>117.5</v>
      </c>
      <c r="H50" s="5">
        <v>8.4</v>
      </c>
      <c r="I50" s="5">
        <v>5.4</v>
      </c>
      <c r="J50" s="5">
        <v>2.4</v>
      </c>
      <c r="K50" s="5">
        <v>16.2</v>
      </c>
    </row>
    <row r="51" spans="1:11" ht="15" customHeight="1" x14ac:dyDescent="0.25">
      <c r="A51" s="4" t="s">
        <v>60</v>
      </c>
      <c r="B51" s="4">
        <v>107.7</v>
      </c>
      <c r="C51" s="4">
        <v>105.2</v>
      </c>
      <c r="D51" s="4">
        <v>105.3</v>
      </c>
      <c r="E51" s="4">
        <v>92.5</v>
      </c>
      <c r="F51" s="4">
        <v>111.5</v>
      </c>
      <c r="G51" s="4">
        <v>121.9</v>
      </c>
      <c r="H51" s="4">
        <v>16.399999999999999</v>
      </c>
      <c r="I51" s="4">
        <v>-0.7</v>
      </c>
      <c r="J51" s="4">
        <v>16.3</v>
      </c>
      <c r="K51" s="4">
        <v>76.099999999999994</v>
      </c>
    </row>
    <row r="52" spans="1:11" ht="15" customHeight="1" x14ac:dyDescent="0.25">
      <c r="A52" s="5" t="s">
        <v>61</v>
      </c>
      <c r="B52" s="5">
        <v>106.3</v>
      </c>
      <c r="C52" s="5">
        <v>104.4</v>
      </c>
      <c r="D52" s="5">
        <v>105.2</v>
      </c>
      <c r="E52" s="5">
        <v>100.1</v>
      </c>
      <c r="F52" s="5">
        <v>110.6</v>
      </c>
      <c r="G52" s="5">
        <v>114</v>
      </c>
      <c r="H52" s="5">
        <v>15.1</v>
      </c>
      <c r="I52" s="5">
        <v>-1.8</v>
      </c>
      <c r="J52" s="5">
        <v>5.6</v>
      </c>
      <c r="K52" s="5">
        <v>104.9</v>
      </c>
    </row>
    <row r="53" spans="1:11" ht="15" customHeight="1" x14ac:dyDescent="0.25">
      <c r="A53" s="4" t="s">
        <v>62</v>
      </c>
      <c r="B53" s="4">
        <v>105.5</v>
      </c>
      <c r="C53" s="4">
        <v>104.5</v>
      </c>
      <c r="D53" s="4">
        <v>107.4</v>
      </c>
      <c r="E53" s="4">
        <v>99.8</v>
      </c>
      <c r="F53" s="4">
        <v>112.8</v>
      </c>
      <c r="G53" s="4">
        <v>102.2</v>
      </c>
      <c r="H53" s="4">
        <v>11.8</v>
      </c>
      <c r="I53" s="4">
        <v>-1.8</v>
      </c>
      <c r="J53" s="4">
        <v>4.2</v>
      </c>
      <c r="K53" s="4">
        <v>79.900000000000006</v>
      </c>
    </row>
    <row r="54" spans="1:11" ht="15" customHeight="1" x14ac:dyDescent="0.25">
      <c r="A54" s="5" t="s">
        <v>63</v>
      </c>
      <c r="B54" s="5">
        <v>104.6</v>
      </c>
      <c r="C54" s="5">
        <v>103.7</v>
      </c>
      <c r="D54" s="5">
        <v>104</v>
      </c>
      <c r="E54" s="5">
        <v>100</v>
      </c>
      <c r="F54" s="5">
        <v>108.8</v>
      </c>
      <c r="G54" s="5">
        <v>108.2</v>
      </c>
      <c r="H54" s="5">
        <v>2.8</v>
      </c>
      <c r="I54" s="5">
        <v>-0.9</v>
      </c>
      <c r="J54" s="5">
        <v>-0.4</v>
      </c>
      <c r="K54" s="5">
        <v>9.1</v>
      </c>
    </row>
    <row r="55" spans="1:11" ht="15" customHeight="1" x14ac:dyDescent="0.25">
      <c r="A55" s="4" t="s">
        <v>64</v>
      </c>
      <c r="B55" s="4">
        <v>103.3</v>
      </c>
      <c r="C55" s="4">
        <v>101.7</v>
      </c>
      <c r="D55" s="4">
        <v>104</v>
      </c>
      <c r="E55" s="4">
        <v>101.8</v>
      </c>
      <c r="F55" s="4">
        <v>108.1</v>
      </c>
      <c r="G55" s="4">
        <v>105</v>
      </c>
      <c r="H55" s="4">
        <v>3.9</v>
      </c>
      <c r="I55" s="4">
        <v>3.3</v>
      </c>
      <c r="J55" s="4">
        <v>1.4</v>
      </c>
      <c r="K55" s="4">
        <v>14.5</v>
      </c>
    </row>
    <row r="56" spans="1:11" ht="15" customHeight="1" x14ac:dyDescent="0.25">
      <c r="A56" s="5" t="s">
        <v>65</v>
      </c>
      <c r="B56" s="5">
        <v>103.1</v>
      </c>
      <c r="C56" s="5">
        <v>104</v>
      </c>
      <c r="D56" s="5">
        <v>103.3</v>
      </c>
      <c r="E56" s="5">
        <v>100.8</v>
      </c>
      <c r="F56" s="5">
        <v>102.7</v>
      </c>
      <c r="G56" s="5">
        <v>100.4</v>
      </c>
      <c r="H56" s="5">
        <v>3.9</v>
      </c>
      <c r="I56" s="5">
        <v>3.4</v>
      </c>
      <c r="J56" s="5">
        <v>3.5</v>
      </c>
      <c r="K56" s="5">
        <v>12.1</v>
      </c>
    </row>
    <row r="57" spans="1:11" ht="15" customHeight="1" x14ac:dyDescent="0.25">
      <c r="A57" s="4" t="s">
        <v>66</v>
      </c>
      <c r="B57" s="4">
        <v>103.6</v>
      </c>
      <c r="C57" s="4">
        <v>105.6</v>
      </c>
      <c r="D57" s="4">
        <v>103.3</v>
      </c>
      <c r="E57" s="4">
        <v>100.8</v>
      </c>
      <c r="F57" s="4">
        <v>102.1</v>
      </c>
      <c r="G57" s="4">
        <v>100.9</v>
      </c>
      <c r="H57" s="4">
        <v>7.6</v>
      </c>
      <c r="I57" s="4">
        <v>7.4</v>
      </c>
      <c r="J57" s="4">
        <v>8.3000000000000007</v>
      </c>
      <c r="K57" s="4">
        <v>15.3</v>
      </c>
    </row>
    <row r="58" spans="1:11" ht="15" customHeight="1" x14ac:dyDescent="0.25">
      <c r="A58" s="5" t="s">
        <v>67</v>
      </c>
      <c r="B58" s="5">
        <v>101.6</v>
      </c>
      <c r="C58" s="5">
        <v>104.2</v>
      </c>
      <c r="D58" s="5">
        <v>99.9</v>
      </c>
      <c r="E58" s="5">
        <v>96</v>
      </c>
      <c r="F58" s="5">
        <v>102.1</v>
      </c>
      <c r="G58" s="5">
        <v>99.8</v>
      </c>
      <c r="H58" s="5">
        <v>4.7</v>
      </c>
      <c r="I58" s="5">
        <v>7.5</v>
      </c>
      <c r="J58" s="5">
        <v>4</v>
      </c>
      <c r="K58" s="5">
        <v>6</v>
      </c>
    </row>
    <row r="59" spans="1:11" ht="15" customHeight="1" x14ac:dyDescent="0.25">
      <c r="A59" s="4" t="s">
        <v>68</v>
      </c>
      <c r="B59" s="4">
        <v>100.4</v>
      </c>
      <c r="C59" s="4">
        <v>101.9</v>
      </c>
      <c r="D59" s="4">
        <v>100</v>
      </c>
      <c r="E59" s="4">
        <v>97.4</v>
      </c>
      <c r="F59" s="4">
        <v>102.3</v>
      </c>
      <c r="G59" s="4">
        <v>97.8</v>
      </c>
      <c r="H59" s="4">
        <v>3.8</v>
      </c>
      <c r="I59" s="4">
        <v>6.7</v>
      </c>
      <c r="J59" s="4">
        <v>2.1</v>
      </c>
      <c r="K59" s="4">
        <v>6.7</v>
      </c>
    </row>
    <row r="60" spans="1:11" ht="15" customHeight="1" x14ac:dyDescent="0.25">
      <c r="A60" s="5" t="s">
        <v>69</v>
      </c>
      <c r="B60" s="5">
        <v>101.7</v>
      </c>
      <c r="C60" s="5">
        <v>101.9</v>
      </c>
      <c r="D60" s="5">
        <v>102</v>
      </c>
      <c r="E60" s="5">
        <v>100.2</v>
      </c>
      <c r="F60" s="5">
        <v>101.6</v>
      </c>
      <c r="G60" s="5">
        <v>98.6</v>
      </c>
      <c r="H60" s="5">
        <v>5.2</v>
      </c>
      <c r="I60" s="5">
        <v>7.2</v>
      </c>
      <c r="J60" s="5">
        <v>1.5</v>
      </c>
      <c r="K60" s="5">
        <v>6.6</v>
      </c>
    </row>
    <row r="61" spans="1:11" ht="15" customHeight="1" x14ac:dyDescent="0.25">
      <c r="A61" s="4" t="s">
        <v>70</v>
      </c>
      <c r="B61" s="4">
        <v>100.7</v>
      </c>
      <c r="C61" s="4">
        <v>102.1</v>
      </c>
      <c r="D61" s="4">
        <v>101.1</v>
      </c>
      <c r="E61" s="4">
        <v>101.3</v>
      </c>
      <c r="F61" s="4">
        <v>103</v>
      </c>
      <c r="G61" s="4">
        <v>94.7</v>
      </c>
      <c r="H61" s="4">
        <v>3.7</v>
      </c>
      <c r="I61" s="4">
        <v>8.4</v>
      </c>
      <c r="J61" s="4">
        <v>4.5999999999999996</v>
      </c>
      <c r="K61" s="4">
        <v>7.1</v>
      </c>
    </row>
    <row r="62" spans="1:11" ht="15" customHeight="1" x14ac:dyDescent="0.25">
      <c r="A62" s="5" t="s">
        <v>71</v>
      </c>
      <c r="B62" s="5">
        <v>100.9</v>
      </c>
      <c r="C62" s="5">
        <v>101.1</v>
      </c>
      <c r="D62" s="5">
        <v>101.3</v>
      </c>
      <c r="E62" s="5">
        <v>103.6</v>
      </c>
      <c r="F62" s="5">
        <v>101.8</v>
      </c>
      <c r="G62" s="5">
        <v>96</v>
      </c>
      <c r="H62" s="5">
        <v>2.9</v>
      </c>
      <c r="I62" s="5">
        <v>6.3</v>
      </c>
      <c r="J62" s="5">
        <v>6.5</v>
      </c>
      <c r="K62" s="5">
        <v>11.7</v>
      </c>
    </row>
    <row r="63" spans="1:11" ht="15" customHeight="1" x14ac:dyDescent="0.25">
      <c r="A63" s="4" t="s">
        <v>72</v>
      </c>
      <c r="B63" s="4">
        <v>101</v>
      </c>
      <c r="C63" s="4">
        <v>100.7</v>
      </c>
      <c r="D63" s="4">
        <v>100.6</v>
      </c>
      <c r="E63" s="4">
        <v>102.9</v>
      </c>
      <c r="F63" s="4">
        <v>101.2</v>
      </c>
      <c r="G63" s="4">
        <v>98.8</v>
      </c>
      <c r="H63" s="4">
        <v>3.4</v>
      </c>
      <c r="I63" s="4">
        <v>9.1999999999999993</v>
      </c>
      <c r="J63" s="4">
        <v>6.7</v>
      </c>
      <c r="K63" s="4">
        <v>19.5</v>
      </c>
    </row>
    <row r="64" spans="1:11" ht="15" customHeight="1" x14ac:dyDescent="0.25">
      <c r="A64" s="5" t="s">
        <v>73</v>
      </c>
      <c r="B64" s="5">
        <v>101.3</v>
      </c>
      <c r="C64" s="5">
        <v>101.2</v>
      </c>
      <c r="D64" s="5">
        <v>102</v>
      </c>
      <c r="E64" s="5">
        <v>103.4</v>
      </c>
      <c r="F64" s="5">
        <v>99.4</v>
      </c>
      <c r="G64" s="5">
        <v>99.6</v>
      </c>
      <c r="H64" s="5">
        <v>4.9000000000000004</v>
      </c>
      <c r="I64" s="5">
        <v>11.2</v>
      </c>
      <c r="J64" s="5">
        <v>6.5</v>
      </c>
      <c r="K64" s="5">
        <v>12.5</v>
      </c>
    </row>
    <row r="65" spans="1:11" ht="15" customHeight="1" x14ac:dyDescent="0.25">
      <c r="A65" s="4" t="s">
        <v>74</v>
      </c>
      <c r="B65" s="4">
        <v>100</v>
      </c>
      <c r="C65" s="4">
        <v>100.5</v>
      </c>
      <c r="D65" s="4">
        <v>99.7</v>
      </c>
      <c r="E65" s="4">
        <v>100.7</v>
      </c>
      <c r="F65" s="4">
        <v>100.1</v>
      </c>
      <c r="G65" s="4">
        <v>99</v>
      </c>
      <c r="H65" s="4">
        <v>2.8</v>
      </c>
      <c r="I65" s="4">
        <v>10.4</v>
      </c>
      <c r="J65" s="4">
        <v>3.1</v>
      </c>
      <c r="K65" s="4">
        <v>9.1999999999999993</v>
      </c>
    </row>
    <row r="66" spans="1:11" ht="15" customHeight="1" x14ac:dyDescent="0.25">
      <c r="A66" s="5" t="s">
        <v>75</v>
      </c>
      <c r="B66" s="5">
        <v>101.3</v>
      </c>
      <c r="C66" s="5">
        <v>101</v>
      </c>
      <c r="D66" s="5">
        <v>102.4</v>
      </c>
      <c r="E66" s="5">
        <v>103</v>
      </c>
      <c r="F66" s="5">
        <v>102.4</v>
      </c>
      <c r="G66" s="5">
        <v>100</v>
      </c>
      <c r="H66" s="5">
        <v>4.7</v>
      </c>
      <c r="I66" s="5">
        <v>12</v>
      </c>
      <c r="J66" s="5">
        <v>7.6</v>
      </c>
      <c r="K66" s="5">
        <v>11</v>
      </c>
    </row>
    <row r="67" spans="1:11" ht="15" customHeight="1" x14ac:dyDescent="0.25">
      <c r="A67" s="4" t="s">
        <v>76</v>
      </c>
      <c r="B67" s="4">
        <v>100.4</v>
      </c>
      <c r="C67" s="4">
        <v>100.5</v>
      </c>
      <c r="D67" s="4">
        <v>101.1</v>
      </c>
      <c r="E67" s="4">
        <v>101.1</v>
      </c>
      <c r="F67" s="4">
        <v>101.8</v>
      </c>
      <c r="G67" s="4">
        <v>100.4</v>
      </c>
      <c r="H67" s="4">
        <v>4.3</v>
      </c>
      <c r="I67" s="4">
        <v>12.9</v>
      </c>
      <c r="J67" s="4">
        <v>9.6</v>
      </c>
      <c r="K67" s="4">
        <v>7</v>
      </c>
    </row>
    <row r="68" spans="1:11" ht="15" customHeight="1" x14ac:dyDescent="0.25">
      <c r="A68" s="5" t="s">
        <v>77</v>
      </c>
      <c r="B68" s="5">
        <v>101.1</v>
      </c>
      <c r="C68" s="5">
        <v>101</v>
      </c>
      <c r="D68" s="5">
        <v>102.1</v>
      </c>
      <c r="E68" s="5">
        <v>102.8</v>
      </c>
      <c r="F68" s="5">
        <v>101.5</v>
      </c>
      <c r="G68" s="5">
        <v>100.1</v>
      </c>
      <c r="H68" s="5">
        <v>3.3</v>
      </c>
      <c r="I68" s="5">
        <v>10.1</v>
      </c>
      <c r="J68" s="5">
        <v>10.8</v>
      </c>
      <c r="K68" s="5">
        <v>9.6999999999999993</v>
      </c>
    </row>
    <row r="69" spans="1:11" ht="15" customHeight="1" x14ac:dyDescent="0.25">
      <c r="A69" s="4" t="s">
        <v>78</v>
      </c>
      <c r="B69" s="4">
        <v>99.9</v>
      </c>
      <c r="C69" s="4">
        <v>99.1</v>
      </c>
      <c r="D69" s="4">
        <v>100.5</v>
      </c>
      <c r="E69" s="4">
        <v>99.5</v>
      </c>
      <c r="F69" s="4">
        <v>101.2</v>
      </c>
      <c r="G69" s="4">
        <v>101.5</v>
      </c>
      <c r="H69" s="4">
        <v>0.7</v>
      </c>
      <c r="I69" s="4">
        <v>5</v>
      </c>
      <c r="J69" s="4">
        <v>4.5</v>
      </c>
      <c r="K69" s="4">
        <v>5.3</v>
      </c>
    </row>
    <row r="70" spans="1:11" ht="15" customHeight="1" x14ac:dyDescent="0.25">
      <c r="A70" s="5" t="s">
        <v>79</v>
      </c>
      <c r="B70" s="5">
        <v>99.7</v>
      </c>
      <c r="C70" s="5">
        <v>99.6</v>
      </c>
      <c r="D70" s="5">
        <v>99.4</v>
      </c>
      <c r="E70" s="5">
        <v>98.3</v>
      </c>
      <c r="F70" s="5">
        <v>101</v>
      </c>
      <c r="G70" s="5">
        <v>101.4</v>
      </c>
      <c r="H70" s="5">
        <v>3.6</v>
      </c>
      <c r="I70" s="5">
        <v>6.7</v>
      </c>
      <c r="J70" s="5">
        <v>7.2</v>
      </c>
      <c r="K70" s="5">
        <v>9.6</v>
      </c>
    </row>
    <row r="71" spans="1:11" ht="15" customHeight="1" x14ac:dyDescent="0.25">
      <c r="A71" s="4" t="s">
        <v>80</v>
      </c>
      <c r="B71" s="4">
        <v>98.7</v>
      </c>
      <c r="C71" s="4">
        <v>100.1</v>
      </c>
      <c r="D71" s="4">
        <v>97</v>
      </c>
      <c r="E71" s="4">
        <v>94.9</v>
      </c>
      <c r="F71" s="4">
        <v>98.7</v>
      </c>
      <c r="G71" s="4">
        <v>98.5</v>
      </c>
      <c r="H71" s="4">
        <v>3.8</v>
      </c>
      <c r="I71" s="4">
        <v>8.6</v>
      </c>
      <c r="J71" s="4">
        <v>4.8</v>
      </c>
      <c r="K71" s="4">
        <v>4.0999999999999996</v>
      </c>
    </row>
    <row r="72" spans="1:11" ht="15" customHeight="1" x14ac:dyDescent="0.25">
      <c r="A72" s="5" t="s">
        <v>81</v>
      </c>
      <c r="B72" s="5">
        <v>99.3</v>
      </c>
      <c r="C72" s="5">
        <v>100.6</v>
      </c>
      <c r="D72" s="5">
        <v>97.9</v>
      </c>
      <c r="E72" s="5">
        <v>98.2</v>
      </c>
      <c r="F72" s="5">
        <v>97.1</v>
      </c>
      <c r="G72" s="5">
        <v>100.3</v>
      </c>
      <c r="H72" s="5">
        <v>2.4</v>
      </c>
      <c r="I72" s="5">
        <v>7.7</v>
      </c>
      <c r="J72" s="5">
        <v>5.2</v>
      </c>
      <c r="K72" s="5">
        <v>4</v>
      </c>
    </row>
    <row r="73" spans="1:11" ht="15" customHeight="1" x14ac:dyDescent="0.25">
      <c r="A73" s="4" t="s">
        <v>82</v>
      </c>
      <c r="B73" s="4">
        <v>100.8</v>
      </c>
      <c r="C73" s="4">
        <v>100.9</v>
      </c>
      <c r="D73" s="4">
        <v>100.5</v>
      </c>
      <c r="E73" s="4">
        <v>99.9</v>
      </c>
      <c r="F73" s="4">
        <v>98.7</v>
      </c>
      <c r="G73" s="4">
        <v>101.6</v>
      </c>
      <c r="H73" s="4">
        <v>3.9</v>
      </c>
      <c r="I73" s="4">
        <v>6.8</v>
      </c>
      <c r="J73" s="4">
        <v>5.2</v>
      </c>
      <c r="K73" s="4">
        <v>4</v>
      </c>
    </row>
    <row r="74" spans="1:11" ht="15" customHeight="1" x14ac:dyDescent="0.25">
      <c r="A74" s="5" t="s">
        <v>83</v>
      </c>
      <c r="B74" s="5">
        <v>97.3</v>
      </c>
      <c r="C74" s="5">
        <v>95.5</v>
      </c>
      <c r="D74" s="5">
        <v>97.5</v>
      </c>
      <c r="E74" s="5">
        <v>96.5</v>
      </c>
      <c r="F74" s="5">
        <v>97.4</v>
      </c>
      <c r="G74" s="5">
        <v>99.5</v>
      </c>
      <c r="H74" s="5">
        <v>-0.2</v>
      </c>
      <c r="I74" s="5">
        <v>1.6</v>
      </c>
      <c r="J74" s="5">
        <v>-1.3</v>
      </c>
      <c r="K74" s="5">
        <v>-1.7</v>
      </c>
    </row>
    <row r="75" spans="1:11" ht="15" customHeight="1" x14ac:dyDescent="0.25">
      <c r="A75" s="4" t="s">
        <v>84</v>
      </c>
      <c r="B75" s="4">
        <v>100.4</v>
      </c>
      <c r="C75" s="4">
        <v>100</v>
      </c>
      <c r="D75" s="4">
        <v>99.6</v>
      </c>
      <c r="E75" s="4">
        <v>97</v>
      </c>
      <c r="F75" s="4">
        <v>96.5</v>
      </c>
      <c r="G75" s="4">
        <v>99.8</v>
      </c>
      <c r="H75" s="4">
        <v>2.7</v>
      </c>
      <c r="I75" s="4">
        <v>5.9</v>
      </c>
      <c r="J75" s="4">
        <v>0.7</v>
      </c>
      <c r="K75" s="4">
        <v>-1.2</v>
      </c>
    </row>
    <row r="76" spans="1:11" ht="15" customHeight="1" x14ac:dyDescent="0.25">
      <c r="A76" s="5" t="s">
        <v>85</v>
      </c>
      <c r="B76" s="5">
        <v>100.4</v>
      </c>
      <c r="C76" s="5">
        <v>99.9</v>
      </c>
      <c r="D76" s="5">
        <v>100.3</v>
      </c>
      <c r="E76" s="5">
        <v>96.4</v>
      </c>
      <c r="F76" s="5">
        <v>96.4</v>
      </c>
      <c r="G76" s="5">
        <v>100.7</v>
      </c>
      <c r="H76" s="5">
        <v>1.6</v>
      </c>
      <c r="I76" s="5">
        <v>3.8</v>
      </c>
      <c r="J76" s="5">
        <v>1.6</v>
      </c>
      <c r="K76" s="5">
        <v>-2.8</v>
      </c>
    </row>
    <row r="77" spans="1:11" ht="15" customHeight="1" x14ac:dyDescent="0.25">
      <c r="A77" s="4" t="s">
        <v>86</v>
      </c>
      <c r="B77" s="4">
        <v>99.9</v>
      </c>
      <c r="C77" s="4">
        <v>98.7</v>
      </c>
      <c r="D77" s="4">
        <v>100.2</v>
      </c>
      <c r="E77" s="4">
        <v>96.1</v>
      </c>
      <c r="F77" s="4">
        <v>97</v>
      </c>
      <c r="G77" s="4">
        <v>99.6</v>
      </c>
      <c r="H77" s="4">
        <v>2.1</v>
      </c>
      <c r="I77" s="4">
        <v>2.4</v>
      </c>
      <c r="J77" s="4">
        <v>-2.5</v>
      </c>
      <c r="K77" s="4">
        <v>-1.4</v>
      </c>
    </row>
    <row r="78" spans="1:11" ht="15" customHeight="1" x14ac:dyDescent="0.25">
      <c r="A78" s="5" t="s">
        <v>87</v>
      </c>
      <c r="B78" s="5">
        <v>98.7</v>
      </c>
      <c r="C78" s="5">
        <v>97.9</v>
      </c>
      <c r="D78" s="5">
        <v>98.2</v>
      </c>
      <c r="E78" s="5">
        <v>93.3</v>
      </c>
      <c r="F78" s="5">
        <v>94.5</v>
      </c>
      <c r="G78" s="5">
        <v>100.1</v>
      </c>
      <c r="H78" s="5">
        <v>-1</v>
      </c>
      <c r="I78" s="5">
        <v>-0.1</v>
      </c>
      <c r="J78" s="5">
        <v>-4.9000000000000004</v>
      </c>
      <c r="K78" s="5">
        <v>-6.8</v>
      </c>
    </row>
    <row r="79" spans="1:11" ht="15" customHeight="1" x14ac:dyDescent="0.25">
      <c r="A79" s="4" t="s">
        <v>88</v>
      </c>
      <c r="B79" s="4">
        <v>101.4</v>
      </c>
      <c r="C79" s="4">
        <v>98.9</v>
      </c>
      <c r="D79" s="4">
        <v>101.9</v>
      </c>
      <c r="E79" s="4">
        <v>98.3</v>
      </c>
      <c r="F79" s="4">
        <v>99.2</v>
      </c>
      <c r="G79" s="4">
        <v>107</v>
      </c>
      <c r="H79" s="4">
        <v>2.2000000000000002</v>
      </c>
      <c r="I79" s="4">
        <v>0.7</v>
      </c>
      <c r="J79" s="4">
        <v>-2.7</v>
      </c>
      <c r="K79" s="4">
        <v>-0.7</v>
      </c>
    </row>
    <row r="80" spans="1:11" ht="15" customHeight="1" x14ac:dyDescent="0.25">
      <c r="A80" s="5" t="s">
        <v>89</v>
      </c>
      <c r="B80" s="5">
        <v>99.7</v>
      </c>
      <c r="C80" s="5">
        <v>97.4</v>
      </c>
      <c r="D80" s="5">
        <v>99.6</v>
      </c>
      <c r="E80" s="5">
        <v>96.7</v>
      </c>
      <c r="F80" s="5">
        <v>95.7</v>
      </c>
      <c r="G80" s="5">
        <v>104.5</v>
      </c>
      <c r="H80" s="5">
        <v>-0.3</v>
      </c>
      <c r="I80" s="5">
        <v>-1.6</v>
      </c>
      <c r="J80" s="5">
        <v>-8.6</v>
      </c>
      <c r="K80" s="5">
        <v>-4.8</v>
      </c>
    </row>
    <row r="81" spans="1:11" ht="15" customHeight="1" x14ac:dyDescent="0.25">
      <c r="A81" s="4" t="s">
        <v>90</v>
      </c>
      <c r="B81" s="4">
        <v>100.5</v>
      </c>
      <c r="C81" s="4">
        <v>98.3</v>
      </c>
      <c r="D81" s="4">
        <v>100.7</v>
      </c>
      <c r="E81" s="4">
        <v>96.2</v>
      </c>
      <c r="F81" s="4">
        <v>94.8</v>
      </c>
      <c r="G81" s="4">
        <v>105</v>
      </c>
      <c r="H81" s="4">
        <v>1.6</v>
      </c>
      <c r="I81" s="4">
        <v>1.3</v>
      </c>
      <c r="J81" s="4">
        <v>0.3</v>
      </c>
      <c r="K81" s="4">
        <v>-2</v>
      </c>
    </row>
    <row r="82" spans="1:11" ht="15" customHeight="1" x14ac:dyDescent="0.25">
      <c r="A82" s="5" t="s">
        <v>91</v>
      </c>
      <c r="B82" s="5">
        <v>100.8</v>
      </c>
      <c r="C82" s="5">
        <v>99.4</v>
      </c>
      <c r="D82" s="5">
        <v>101</v>
      </c>
      <c r="E82" s="5">
        <v>97.8</v>
      </c>
      <c r="F82" s="5">
        <v>96.7</v>
      </c>
      <c r="G82" s="5">
        <v>102.5</v>
      </c>
      <c r="H82" s="5">
        <v>1.1000000000000001</v>
      </c>
      <c r="I82" s="5">
        <v>1.2</v>
      </c>
      <c r="J82" s="5">
        <v>0.4</v>
      </c>
      <c r="K82" s="5">
        <v>0.5</v>
      </c>
    </row>
    <row r="83" spans="1:11" ht="15" customHeight="1" x14ac:dyDescent="0.25">
      <c r="A83" s="4" t="s">
        <v>92</v>
      </c>
      <c r="B83" s="4">
        <v>100.7</v>
      </c>
      <c r="C83" s="4">
        <v>98.3</v>
      </c>
      <c r="D83" s="4">
        <v>102.1</v>
      </c>
      <c r="E83" s="4">
        <v>97.2</v>
      </c>
      <c r="F83" s="4">
        <v>96.8</v>
      </c>
      <c r="G83" s="4">
        <v>102.7</v>
      </c>
      <c r="H83" s="4">
        <v>1.2</v>
      </c>
      <c r="I83" s="4">
        <v>-0.6</v>
      </c>
      <c r="J83" s="4">
        <v>2.4</v>
      </c>
      <c r="K83" s="4">
        <v>2.8</v>
      </c>
    </row>
    <row r="84" spans="1:11" ht="15" customHeight="1" x14ac:dyDescent="0.25">
      <c r="A84" s="5" t="s">
        <v>93</v>
      </c>
      <c r="B84" s="5">
        <v>100.1</v>
      </c>
      <c r="C84" s="5">
        <v>97.5</v>
      </c>
      <c r="D84" s="5">
        <v>101.1</v>
      </c>
      <c r="E84" s="5">
        <v>95.5</v>
      </c>
      <c r="F84" s="5">
        <v>96.5</v>
      </c>
      <c r="G84" s="5">
        <v>102.2</v>
      </c>
      <c r="H84" s="5">
        <v>-0.3</v>
      </c>
      <c r="I84" s="5">
        <v>-1.7</v>
      </c>
      <c r="J84" s="5">
        <v>1.5</v>
      </c>
      <c r="K84" s="5">
        <v>-2.2000000000000002</v>
      </c>
    </row>
    <row r="85" spans="1:11" ht="15" customHeight="1" x14ac:dyDescent="0.25">
      <c r="A85" s="4" t="s">
        <v>94</v>
      </c>
      <c r="B85" s="4">
        <v>100.1</v>
      </c>
      <c r="C85" s="4">
        <v>97.9</v>
      </c>
      <c r="D85" s="4">
        <v>101</v>
      </c>
      <c r="E85" s="4">
        <v>91.4</v>
      </c>
      <c r="F85" s="4">
        <v>96.6</v>
      </c>
      <c r="G85" s="4">
        <v>102.5</v>
      </c>
      <c r="H85" s="4">
        <v>-1.1000000000000001</v>
      </c>
      <c r="I85" s="4">
        <v>-1.3</v>
      </c>
      <c r="J85" s="4">
        <v>0.2</v>
      </c>
      <c r="K85" s="4">
        <v>-7.2</v>
      </c>
    </row>
    <row r="86" spans="1:11" ht="15" customHeight="1" x14ac:dyDescent="0.25">
      <c r="A86" s="5" t="s">
        <v>95</v>
      </c>
      <c r="B86" s="5">
        <v>100.1</v>
      </c>
      <c r="C86" s="5">
        <v>97.8</v>
      </c>
      <c r="D86" s="5">
        <v>102.2</v>
      </c>
      <c r="E86" s="5">
        <v>95.5</v>
      </c>
      <c r="F86" s="5">
        <v>97.6</v>
      </c>
      <c r="G86" s="5">
        <v>99.9</v>
      </c>
      <c r="H86" s="5">
        <v>3.4</v>
      </c>
      <c r="I86" s="5">
        <v>4.5</v>
      </c>
      <c r="J86" s="5">
        <v>5.7</v>
      </c>
      <c r="K86" s="5">
        <v>-0.3</v>
      </c>
    </row>
    <row r="87" spans="1:11" ht="15" customHeight="1" x14ac:dyDescent="0.25">
      <c r="A87" s="4" t="s">
        <v>96</v>
      </c>
      <c r="B87" s="4">
        <v>99</v>
      </c>
      <c r="C87" s="4">
        <v>99</v>
      </c>
      <c r="D87" s="4">
        <v>99.3</v>
      </c>
      <c r="E87" s="4">
        <v>93.4</v>
      </c>
      <c r="F87" s="4">
        <v>96.3</v>
      </c>
      <c r="G87" s="4">
        <v>95.2</v>
      </c>
      <c r="H87" s="4">
        <v>-0.1</v>
      </c>
      <c r="I87" s="4">
        <v>1.8</v>
      </c>
      <c r="J87" s="4">
        <v>4.4000000000000004</v>
      </c>
      <c r="K87" s="4">
        <v>-2.4</v>
      </c>
    </row>
    <row r="88" spans="1:11" ht="15" customHeight="1" x14ac:dyDescent="0.25">
      <c r="A88" s="5" t="s">
        <v>97</v>
      </c>
      <c r="B88" s="5">
        <v>101.1</v>
      </c>
      <c r="C88" s="5">
        <v>98.2</v>
      </c>
      <c r="D88" s="5">
        <v>103.4</v>
      </c>
      <c r="E88" s="5">
        <v>97.4</v>
      </c>
      <c r="F88" s="5">
        <v>103.2</v>
      </c>
      <c r="G88" s="5">
        <v>101.2</v>
      </c>
      <c r="H88" s="5">
        <v>1.7</v>
      </c>
      <c r="I88" s="5">
        <v>1.4</v>
      </c>
      <c r="J88" s="5">
        <v>2</v>
      </c>
      <c r="K88" s="5">
        <v>0.8</v>
      </c>
    </row>
    <row r="89" spans="1:11" ht="15" customHeight="1" x14ac:dyDescent="0.25">
      <c r="A89" s="4" t="s">
        <v>98</v>
      </c>
      <c r="B89" s="4">
        <v>101.9</v>
      </c>
      <c r="C89" s="4">
        <v>99.1</v>
      </c>
      <c r="D89" s="4">
        <v>104.2</v>
      </c>
      <c r="E89" s="4">
        <v>98.5</v>
      </c>
      <c r="F89" s="4">
        <v>100</v>
      </c>
      <c r="G89" s="4">
        <v>103.8</v>
      </c>
      <c r="H89" s="4">
        <v>2.6</v>
      </c>
      <c r="I89" s="4">
        <v>3.2</v>
      </c>
      <c r="J89" s="4">
        <v>6.2</v>
      </c>
      <c r="K89" s="4">
        <v>3.5</v>
      </c>
    </row>
    <row r="90" spans="1:11" ht="15" customHeight="1" x14ac:dyDescent="0.25">
      <c r="A90" s="5" t="s">
        <v>99</v>
      </c>
      <c r="B90" s="5">
        <v>102</v>
      </c>
      <c r="C90" s="5">
        <v>99.3</v>
      </c>
      <c r="D90" s="5">
        <v>103.1</v>
      </c>
      <c r="E90" s="5">
        <v>98.3</v>
      </c>
      <c r="F90" s="5">
        <v>100</v>
      </c>
      <c r="G90" s="5">
        <v>106.5</v>
      </c>
      <c r="H90" s="5">
        <v>3.4</v>
      </c>
      <c r="I90" s="5">
        <v>4.5999999999999996</v>
      </c>
      <c r="J90" s="5">
        <v>8.1999999999999993</v>
      </c>
      <c r="K90" s="5">
        <v>5.3</v>
      </c>
    </row>
    <row r="91" spans="1:11" ht="15" customHeight="1" x14ac:dyDescent="0.25">
      <c r="A91" s="4" t="s">
        <v>100</v>
      </c>
      <c r="B91" s="4">
        <v>100.6</v>
      </c>
      <c r="C91" s="4">
        <v>97.7</v>
      </c>
      <c r="D91" s="4">
        <v>101</v>
      </c>
      <c r="E91" s="4">
        <v>94</v>
      </c>
      <c r="F91" s="4">
        <v>97.5</v>
      </c>
      <c r="G91" s="4">
        <v>106.4</v>
      </c>
      <c r="H91" s="4">
        <v>-0.6</v>
      </c>
      <c r="I91" s="4">
        <v>2.1</v>
      </c>
      <c r="J91" s="4">
        <v>2.9</v>
      </c>
      <c r="K91" s="4">
        <v>-4.3</v>
      </c>
    </row>
    <row r="92" spans="1:11" ht="15" customHeight="1" x14ac:dyDescent="0.25">
      <c r="A92" s="5" t="s">
        <v>101</v>
      </c>
      <c r="B92" s="5">
        <v>100.9</v>
      </c>
      <c r="C92" s="5">
        <v>98.6</v>
      </c>
      <c r="D92" s="5">
        <v>101.5</v>
      </c>
      <c r="E92" s="5">
        <v>96.1</v>
      </c>
      <c r="F92" s="5">
        <v>98.5</v>
      </c>
      <c r="G92" s="5">
        <v>106.7</v>
      </c>
      <c r="H92" s="5">
        <v>2</v>
      </c>
      <c r="I92" s="5">
        <v>4.8</v>
      </c>
      <c r="J92" s="5">
        <v>9</v>
      </c>
      <c r="K92" s="5">
        <v>0.3</v>
      </c>
    </row>
    <row r="93" spans="1:11" ht="15" customHeight="1" x14ac:dyDescent="0.25">
      <c r="A93" s="4" t="s">
        <v>102</v>
      </c>
      <c r="B93" s="4">
        <v>102.3</v>
      </c>
      <c r="C93" s="4">
        <v>100.9</v>
      </c>
      <c r="D93" s="4">
        <v>102</v>
      </c>
      <c r="E93" s="4">
        <v>99.2</v>
      </c>
      <c r="F93" s="4">
        <v>99.1</v>
      </c>
      <c r="G93" s="4">
        <v>108.6</v>
      </c>
      <c r="H93" s="4">
        <v>2.8</v>
      </c>
      <c r="I93" s="4">
        <v>6.1</v>
      </c>
      <c r="J93" s="4">
        <v>0.3</v>
      </c>
      <c r="K93" s="4">
        <v>3.7</v>
      </c>
    </row>
    <row r="94" spans="1:11" ht="15" customHeight="1" x14ac:dyDescent="0.25">
      <c r="A94" s="5" t="s">
        <v>103</v>
      </c>
      <c r="B94" s="5">
        <v>101.7</v>
      </c>
      <c r="C94" s="5">
        <v>99.3</v>
      </c>
      <c r="D94" s="5">
        <v>103.1</v>
      </c>
      <c r="E94" s="5">
        <v>99.4</v>
      </c>
      <c r="F94" s="5">
        <v>99.4</v>
      </c>
      <c r="G94" s="5">
        <v>110.1</v>
      </c>
      <c r="H94" s="5">
        <v>2.2999999999999998</v>
      </c>
      <c r="I94" s="5">
        <v>3.5</v>
      </c>
      <c r="J94" s="5">
        <v>4.5</v>
      </c>
      <c r="K94" s="5">
        <v>2.4</v>
      </c>
    </row>
    <row r="95" spans="1:11" ht="15" customHeight="1" x14ac:dyDescent="0.25">
      <c r="A95" s="4" t="s">
        <v>104</v>
      </c>
      <c r="B95" s="4">
        <v>102.8</v>
      </c>
      <c r="C95" s="4">
        <v>99.7</v>
      </c>
      <c r="D95" s="4">
        <v>104.6</v>
      </c>
      <c r="E95" s="4">
        <v>102.9</v>
      </c>
      <c r="F95" s="4">
        <v>99.8</v>
      </c>
      <c r="G95" s="4">
        <v>111.3</v>
      </c>
      <c r="H95" s="4">
        <v>3.7</v>
      </c>
      <c r="I95" s="4">
        <v>5.0999999999999996</v>
      </c>
      <c r="J95" s="4">
        <v>4.2</v>
      </c>
      <c r="K95" s="4">
        <v>6.9</v>
      </c>
    </row>
    <row r="96" spans="1:11" ht="15" customHeight="1" x14ac:dyDescent="0.25">
      <c r="A96" s="5" t="s">
        <v>105</v>
      </c>
      <c r="B96" s="5">
        <v>102.1</v>
      </c>
      <c r="C96" s="5">
        <v>99.1</v>
      </c>
      <c r="D96" s="5">
        <v>104.6</v>
      </c>
      <c r="E96" s="5">
        <v>100.4</v>
      </c>
      <c r="F96" s="5">
        <v>102.4</v>
      </c>
      <c r="G96" s="5">
        <v>108.9</v>
      </c>
      <c r="H96" s="5">
        <v>4</v>
      </c>
      <c r="I96" s="5">
        <v>5.5</v>
      </c>
      <c r="J96" s="5">
        <v>1.8</v>
      </c>
      <c r="K96" s="5">
        <v>6.1</v>
      </c>
    </row>
    <row r="97" spans="1:11" ht="15" customHeight="1" x14ac:dyDescent="0.25">
      <c r="A97" s="4" t="s">
        <v>106</v>
      </c>
      <c r="B97" s="4">
        <v>101.7</v>
      </c>
      <c r="C97" s="4">
        <v>98.8</v>
      </c>
      <c r="D97" s="4">
        <v>104.8</v>
      </c>
      <c r="E97" s="4">
        <v>101.9</v>
      </c>
      <c r="F97" s="4">
        <v>103.2</v>
      </c>
      <c r="G97" s="4">
        <v>104.9</v>
      </c>
      <c r="H97" s="4">
        <v>3.4</v>
      </c>
      <c r="I97" s="4">
        <v>4.7</v>
      </c>
      <c r="J97" s="4">
        <v>4.2</v>
      </c>
      <c r="K97" s="4">
        <v>11.6</v>
      </c>
    </row>
    <row r="98" spans="1:11" ht="15" customHeight="1" x14ac:dyDescent="0.25">
      <c r="A98" s="5" t="s">
        <v>107</v>
      </c>
      <c r="B98" s="5">
        <v>101.7</v>
      </c>
      <c r="C98" s="5">
        <v>98.7</v>
      </c>
      <c r="D98" s="5">
        <v>103.3</v>
      </c>
      <c r="E98" s="5">
        <v>99.8</v>
      </c>
      <c r="F98" s="5">
        <v>99.4</v>
      </c>
      <c r="G98" s="5">
        <v>109.9</v>
      </c>
      <c r="H98" s="5">
        <v>3.3</v>
      </c>
      <c r="I98" s="5">
        <v>4.5999999999999996</v>
      </c>
      <c r="J98" s="5">
        <v>1</v>
      </c>
      <c r="K98" s="5">
        <v>5.4</v>
      </c>
    </row>
    <row r="99" spans="1:11" ht="15" customHeight="1" x14ac:dyDescent="0.25">
      <c r="A99" s="4" t="s">
        <v>108</v>
      </c>
      <c r="B99" s="4">
        <v>103.6</v>
      </c>
      <c r="C99" s="4">
        <v>99.7</v>
      </c>
      <c r="D99" s="4">
        <v>106.3</v>
      </c>
      <c r="E99" s="4">
        <v>101.1</v>
      </c>
      <c r="F99" s="4">
        <v>103.4</v>
      </c>
      <c r="G99" s="4">
        <v>111.9</v>
      </c>
      <c r="H99" s="4">
        <v>5.5</v>
      </c>
      <c r="I99" s="4">
        <v>3.7</v>
      </c>
      <c r="J99" s="4">
        <v>0.4</v>
      </c>
      <c r="K99" s="4">
        <v>8.6999999999999993</v>
      </c>
    </row>
    <row r="100" spans="1:11" ht="15" customHeight="1" x14ac:dyDescent="0.25">
      <c r="A100" s="5" t="s">
        <v>109</v>
      </c>
      <c r="B100" s="5">
        <v>102.7</v>
      </c>
      <c r="C100" s="5">
        <v>99</v>
      </c>
      <c r="D100" s="5">
        <v>105.5</v>
      </c>
      <c r="E100" s="5">
        <v>100.2</v>
      </c>
      <c r="F100" s="5">
        <v>99.7</v>
      </c>
      <c r="G100" s="5">
        <v>110.5</v>
      </c>
      <c r="H100" s="5">
        <v>2.5</v>
      </c>
      <c r="I100" s="5">
        <v>3.5</v>
      </c>
      <c r="J100" s="5">
        <v>1</v>
      </c>
      <c r="K100" s="5">
        <v>4</v>
      </c>
    </row>
    <row r="101" spans="1:11" ht="15" customHeight="1" x14ac:dyDescent="0.25">
      <c r="A101" s="4" t="s">
        <v>110</v>
      </c>
      <c r="B101" s="4">
        <v>103.4</v>
      </c>
      <c r="C101" s="4">
        <v>98.1</v>
      </c>
      <c r="D101" s="4">
        <v>106.2</v>
      </c>
      <c r="E101" s="4">
        <v>100.7</v>
      </c>
      <c r="F101" s="4">
        <v>101.1</v>
      </c>
      <c r="G101" s="4">
        <v>111.7</v>
      </c>
      <c r="H101" s="4">
        <v>4.0999999999999996</v>
      </c>
      <c r="I101" s="4">
        <v>2.7</v>
      </c>
      <c r="J101" s="4">
        <v>3.3</v>
      </c>
      <c r="K101" s="4">
        <v>2.6</v>
      </c>
    </row>
    <row r="102" spans="1:11" ht="15" customHeight="1" x14ac:dyDescent="0.25">
      <c r="A102" s="5" t="s">
        <v>111</v>
      </c>
      <c r="B102" s="5">
        <v>102</v>
      </c>
      <c r="C102" s="5">
        <v>98.9</v>
      </c>
      <c r="D102" s="5">
        <v>105.1</v>
      </c>
      <c r="E102" s="5">
        <v>98.3</v>
      </c>
      <c r="F102" s="5">
        <v>101</v>
      </c>
      <c r="G102" s="5">
        <v>109.5</v>
      </c>
      <c r="H102" s="5">
        <v>4.5</v>
      </c>
      <c r="I102" s="5">
        <v>3</v>
      </c>
      <c r="J102" s="5">
        <v>1.5</v>
      </c>
      <c r="K102" s="5">
        <v>1.6</v>
      </c>
    </row>
  </sheetData>
  <mergeCells count="1">
    <mergeCell ref="A1:K1"/>
  </mergeCells>
  <pageMargins left="0.75" right="0.75" top="1" bottom="1" header="0.511811023622047" footer="0.511811023622047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34B183-10E6-4095-82FC-AFCCCC894CCD}">
  <dimension ref="A1:B102"/>
  <sheetViews>
    <sheetView showGridLines="0" zoomScaleNormal="100" workbookViewId="0">
      <selection activeCell="K14" sqref="K14"/>
    </sheetView>
  </sheetViews>
  <sheetFormatPr defaultColWidth="8.7109375" defaultRowHeight="15" x14ac:dyDescent="0.25"/>
  <cols>
    <col min="1" max="2" width="18" style="2" customWidth="1"/>
    <col min="3" max="16384" width="8.7109375" style="2"/>
  </cols>
  <sheetData>
    <row r="1" spans="1:2" ht="31.5" customHeight="1" x14ac:dyDescent="0.25">
      <c r="A1" s="1" t="s">
        <v>112</v>
      </c>
      <c r="B1" s="1"/>
    </row>
    <row r="2" spans="1:2" ht="15" customHeight="1" x14ac:dyDescent="0.25">
      <c r="A2" s="3" t="s">
        <v>1</v>
      </c>
      <c r="B2" s="3" t="s">
        <v>113</v>
      </c>
    </row>
    <row r="3" spans="1:2" ht="15" customHeight="1" x14ac:dyDescent="0.25">
      <c r="A3" s="4" t="s">
        <v>12</v>
      </c>
      <c r="B3" s="4">
        <v>3</v>
      </c>
    </row>
    <row r="4" spans="1:2" ht="15" customHeight="1" x14ac:dyDescent="0.25">
      <c r="A4" s="5" t="s">
        <v>13</v>
      </c>
      <c r="B4" s="5">
        <v>2.7</v>
      </c>
    </row>
    <row r="5" spans="1:2" ht="15" customHeight="1" x14ac:dyDescent="0.25">
      <c r="A5" s="4" t="s">
        <v>14</v>
      </c>
      <c r="B5" s="4">
        <v>2.5</v>
      </c>
    </row>
    <row r="6" spans="1:2" ht="15" customHeight="1" x14ac:dyDescent="0.25">
      <c r="A6" s="5" t="s">
        <v>15</v>
      </c>
      <c r="B6" s="5">
        <v>2.4</v>
      </c>
    </row>
    <row r="7" spans="1:2" ht="15" customHeight="1" x14ac:dyDescent="0.25">
      <c r="A7" s="4" t="s">
        <v>16</v>
      </c>
      <c r="B7" s="4">
        <v>2.4</v>
      </c>
    </row>
    <row r="8" spans="1:2" ht="15" customHeight="1" x14ac:dyDescent="0.25">
      <c r="A8" s="5" t="s">
        <v>17</v>
      </c>
      <c r="B8" s="5">
        <v>2.4</v>
      </c>
    </row>
    <row r="9" spans="1:2" ht="15" customHeight="1" x14ac:dyDescent="0.25">
      <c r="A9" s="4" t="s">
        <v>18</v>
      </c>
      <c r="B9" s="4">
        <v>2.5</v>
      </c>
    </row>
    <row r="10" spans="1:2" ht="15" customHeight="1" x14ac:dyDescent="0.25">
      <c r="A10" s="5" t="s">
        <v>19</v>
      </c>
      <c r="B10" s="5">
        <v>2.7</v>
      </c>
    </row>
    <row r="11" spans="1:2" ht="15" customHeight="1" x14ac:dyDescent="0.25">
      <c r="A11" s="4" t="s">
        <v>20</v>
      </c>
      <c r="B11" s="4">
        <v>2.4</v>
      </c>
    </row>
    <row r="12" spans="1:2" ht="15" customHeight="1" x14ac:dyDescent="0.25">
      <c r="A12" s="5" t="s">
        <v>21</v>
      </c>
      <c r="B12" s="5">
        <v>2.4</v>
      </c>
    </row>
    <row r="13" spans="1:2" ht="15" customHeight="1" x14ac:dyDescent="0.25">
      <c r="A13" s="4" t="s">
        <v>22</v>
      </c>
      <c r="B13" s="4">
        <v>2.2999999999999998</v>
      </c>
    </row>
    <row r="14" spans="1:2" ht="15" customHeight="1" x14ac:dyDescent="0.25">
      <c r="A14" s="5" t="s">
        <v>23</v>
      </c>
      <c r="B14" s="5">
        <v>2.1</v>
      </c>
    </row>
    <row r="15" spans="1:2" ht="15" customHeight="1" x14ac:dyDescent="0.25">
      <c r="A15" s="4" t="s">
        <v>24</v>
      </c>
      <c r="B15" s="4">
        <v>1.8</v>
      </c>
    </row>
    <row r="16" spans="1:2" ht="15" customHeight="1" x14ac:dyDescent="0.25">
      <c r="A16" s="5" t="s">
        <v>25</v>
      </c>
      <c r="B16" s="5">
        <v>1.9</v>
      </c>
    </row>
    <row r="17" spans="1:2" ht="15" customHeight="1" x14ac:dyDescent="0.25">
      <c r="A17" s="4" t="s">
        <v>26</v>
      </c>
      <c r="B17" s="4">
        <v>1.9</v>
      </c>
    </row>
    <row r="18" spans="1:2" ht="15" customHeight="1" x14ac:dyDescent="0.25">
      <c r="A18" s="5" t="s">
        <v>27</v>
      </c>
      <c r="B18" s="5">
        <v>2.1</v>
      </c>
    </row>
    <row r="19" spans="1:2" ht="15" customHeight="1" x14ac:dyDescent="0.25">
      <c r="A19" s="4" t="s">
        <v>28</v>
      </c>
      <c r="B19" s="4">
        <v>2</v>
      </c>
    </row>
    <row r="20" spans="1:2" ht="15" customHeight="1" x14ac:dyDescent="0.25">
      <c r="A20" s="5" t="s">
        <v>29</v>
      </c>
      <c r="B20" s="5">
        <v>2</v>
      </c>
    </row>
    <row r="21" spans="1:2" ht="15" customHeight="1" x14ac:dyDescent="0.25">
      <c r="A21" s="4" t="s">
        <v>30</v>
      </c>
      <c r="B21" s="4">
        <v>2.1</v>
      </c>
    </row>
    <row r="22" spans="1:2" ht="15" customHeight="1" x14ac:dyDescent="0.25">
      <c r="A22" s="5" t="s">
        <v>31</v>
      </c>
      <c r="B22" s="5">
        <v>1.7</v>
      </c>
    </row>
    <row r="23" spans="1:2" ht="15" customHeight="1" x14ac:dyDescent="0.25">
      <c r="A23" s="4" t="s">
        <v>32</v>
      </c>
      <c r="B23" s="4">
        <v>1.7</v>
      </c>
    </row>
    <row r="24" spans="1:2" ht="15" customHeight="1" x14ac:dyDescent="0.25">
      <c r="A24" s="5" t="s">
        <v>33</v>
      </c>
      <c r="B24" s="5">
        <v>1.5</v>
      </c>
    </row>
    <row r="25" spans="1:2" ht="15" customHeight="1" x14ac:dyDescent="0.25">
      <c r="A25" s="4" t="s">
        <v>34</v>
      </c>
      <c r="B25" s="4">
        <v>1.5</v>
      </c>
    </row>
    <row r="26" spans="1:2" ht="15" customHeight="1" x14ac:dyDescent="0.25">
      <c r="A26" s="5" t="s">
        <v>35</v>
      </c>
      <c r="B26" s="5">
        <v>1.3</v>
      </c>
    </row>
    <row r="27" spans="1:2" ht="15" customHeight="1" x14ac:dyDescent="0.25">
      <c r="A27" s="4" t="s">
        <v>36</v>
      </c>
      <c r="B27" s="4">
        <v>1.8</v>
      </c>
    </row>
    <row r="28" spans="1:2" ht="15" customHeight="1" x14ac:dyDescent="0.25">
      <c r="A28" s="5" t="s">
        <v>37</v>
      </c>
      <c r="B28" s="5">
        <v>1.7</v>
      </c>
    </row>
    <row r="29" spans="1:2" ht="15" customHeight="1" x14ac:dyDescent="0.25">
      <c r="A29" s="4" t="s">
        <v>38</v>
      </c>
      <c r="B29" s="4">
        <v>1.5</v>
      </c>
    </row>
    <row r="30" spans="1:2" ht="15" customHeight="1" x14ac:dyDescent="0.25">
      <c r="A30" s="5" t="s">
        <v>39</v>
      </c>
      <c r="B30" s="5">
        <v>0.8</v>
      </c>
    </row>
    <row r="31" spans="1:2" ht="15" customHeight="1" x14ac:dyDescent="0.25">
      <c r="A31" s="4" t="s">
        <v>40</v>
      </c>
      <c r="B31" s="4">
        <v>0.5</v>
      </c>
    </row>
    <row r="32" spans="1:2" ht="15" customHeight="1" x14ac:dyDescent="0.25">
      <c r="A32" s="5" t="s">
        <v>41</v>
      </c>
      <c r="B32" s="5">
        <v>0.6</v>
      </c>
    </row>
    <row r="33" spans="1:2" ht="15" customHeight="1" x14ac:dyDescent="0.25">
      <c r="A33" s="4" t="s">
        <v>42</v>
      </c>
      <c r="B33" s="4">
        <v>1</v>
      </c>
    </row>
    <row r="34" spans="1:2" ht="15" customHeight="1" x14ac:dyDescent="0.25">
      <c r="A34" s="5" t="s">
        <v>43</v>
      </c>
      <c r="B34" s="5">
        <v>0.2</v>
      </c>
    </row>
    <row r="35" spans="1:2" ht="15" customHeight="1" x14ac:dyDescent="0.25">
      <c r="A35" s="4" t="s">
        <v>44</v>
      </c>
      <c r="B35" s="4">
        <v>0.5</v>
      </c>
    </row>
    <row r="36" spans="1:2" ht="15" customHeight="1" x14ac:dyDescent="0.25">
      <c r="A36" s="5" t="s">
        <v>45</v>
      </c>
      <c r="B36" s="5">
        <v>0.7</v>
      </c>
    </row>
    <row r="37" spans="1:2" ht="15" customHeight="1" x14ac:dyDescent="0.25">
      <c r="A37" s="4" t="s">
        <v>46</v>
      </c>
      <c r="B37" s="4">
        <v>0.3</v>
      </c>
    </row>
    <row r="38" spans="1:2" ht="15" customHeight="1" x14ac:dyDescent="0.25">
      <c r="A38" s="5" t="s">
        <v>47</v>
      </c>
      <c r="B38" s="5">
        <v>0.6</v>
      </c>
    </row>
    <row r="39" spans="1:2" ht="15" customHeight="1" x14ac:dyDescent="0.25">
      <c r="A39" s="4" t="s">
        <v>48</v>
      </c>
      <c r="B39" s="4">
        <v>0.7</v>
      </c>
    </row>
    <row r="40" spans="1:2" ht="15" customHeight="1" x14ac:dyDescent="0.25">
      <c r="A40" s="5" t="s">
        <v>49</v>
      </c>
      <c r="B40" s="5">
        <v>0.4</v>
      </c>
    </row>
    <row r="41" spans="1:2" ht="15" customHeight="1" x14ac:dyDescent="0.25">
      <c r="A41" s="4" t="s">
        <v>50</v>
      </c>
      <c r="B41" s="4">
        <v>0.7</v>
      </c>
    </row>
    <row r="42" spans="1:2" ht="15" customHeight="1" x14ac:dyDescent="0.25">
      <c r="A42" s="5" t="s">
        <v>51</v>
      </c>
      <c r="B42" s="5">
        <v>1.5</v>
      </c>
    </row>
    <row r="43" spans="1:2" ht="15" customHeight="1" x14ac:dyDescent="0.25">
      <c r="A43" s="4" t="s">
        <v>52</v>
      </c>
      <c r="B43" s="4">
        <v>2.1</v>
      </c>
    </row>
    <row r="44" spans="1:2" ht="15" customHeight="1" x14ac:dyDescent="0.25">
      <c r="A44" s="5" t="s">
        <v>53</v>
      </c>
      <c r="B44" s="5">
        <v>2.5</v>
      </c>
    </row>
    <row r="45" spans="1:2" ht="15" customHeight="1" x14ac:dyDescent="0.25">
      <c r="A45" s="4" t="s">
        <v>54</v>
      </c>
      <c r="B45" s="4">
        <v>2</v>
      </c>
    </row>
    <row r="46" spans="1:2" ht="15" customHeight="1" x14ac:dyDescent="0.25">
      <c r="A46" s="5" t="s">
        <v>55</v>
      </c>
      <c r="B46" s="5">
        <v>3.2</v>
      </c>
    </row>
    <row r="47" spans="1:2" ht="15" customHeight="1" x14ac:dyDescent="0.25">
      <c r="A47" s="4" t="s">
        <v>56</v>
      </c>
      <c r="B47" s="4">
        <v>3.1</v>
      </c>
    </row>
    <row r="48" spans="1:2" ht="15" customHeight="1" x14ac:dyDescent="0.25">
      <c r="A48" s="5" t="s">
        <v>57</v>
      </c>
      <c r="B48" s="5">
        <v>4.2</v>
      </c>
    </row>
    <row r="49" spans="1:2" ht="15" customHeight="1" x14ac:dyDescent="0.25">
      <c r="A49" s="4" t="s">
        <v>58</v>
      </c>
      <c r="B49" s="4">
        <v>5.0999999999999996</v>
      </c>
    </row>
    <row r="50" spans="1:2" ht="15" customHeight="1" x14ac:dyDescent="0.25">
      <c r="A50" s="5" t="s">
        <v>59</v>
      </c>
      <c r="B50" s="5">
        <v>5.4</v>
      </c>
    </row>
    <row r="51" spans="1:2" ht="15" customHeight="1" x14ac:dyDescent="0.25">
      <c r="A51" s="4" t="s">
        <v>60</v>
      </c>
      <c r="B51" s="4">
        <v>5.5</v>
      </c>
    </row>
    <row r="52" spans="1:2" ht="15" customHeight="1" x14ac:dyDescent="0.25">
      <c r="A52" s="5" t="s">
        <v>61</v>
      </c>
      <c r="B52" s="5">
        <v>6.2</v>
      </c>
    </row>
    <row r="53" spans="1:2" ht="15" customHeight="1" x14ac:dyDescent="0.25">
      <c r="A53" s="4" t="s">
        <v>62</v>
      </c>
      <c r="B53" s="4">
        <v>7</v>
      </c>
    </row>
    <row r="54" spans="1:2" ht="15" customHeight="1" x14ac:dyDescent="0.25">
      <c r="A54" s="5" t="s">
        <v>63</v>
      </c>
      <c r="B54" s="5">
        <v>9</v>
      </c>
    </row>
    <row r="55" spans="1:2" ht="15" customHeight="1" x14ac:dyDescent="0.25">
      <c r="A55" s="4" t="s">
        <v>64</v>
      </c>
      <c r="B55" s="4">
        <v>9.1</v>
      </c>
    </row>
    <row r="56" spans="1:2" ht="15" customHeight="1" x14ac:dyDescent="0.25">
      <c r="A56" s="5" t="s">
        <v>65</v>
      </c>
      <c r="B56" s="5">
        <v>9.4</v>
      </c>
    </row>
    <row r="57" spans="1:2" ht="15" customHeight="1" x14ac:dyDescent="0.25">
      <c r="A57" s="4" t="s">
        <v>66</v>
      </c>
      <c r="B57" s="4">
        <v>10.1</v>
      </c>
    </row>
    <row r="58" spans="1:2" ht="15" customHeight="1" x14ac:dyDescent="0.25">
      <c r="A58" s="5" t="s">
        <v>67</v>
      </c>
      <c r="B58" s="5">
        <v>9.9</v>
      </c>
    </row>
    <row r="59" spans="1:2" ht="15" customHeight="1" x14ac:dyDescent="0.25">
      <c r="A59" s="4" t="s">
        <v>68</v>
      </c>
      <c r="B59" s="4">
        <v>10.1</v>
      </c>
    </row>
    <row r="60" spans="1:2" ht="15" customHeight="1" x14ac:dyDescent="0.25">
      <c r="A60" s="5" t="s">
        <v>69</v>
      </c>
      <c r="B60" s="5">
        <v>11.1</v>
      </c>
    </row>
    <row r="61" spans="1:2" ht="15" customHeight="1" x14ac:dyDescent="0.25">
      <c r="A61" s="4" t="s">
        <v>70</v>
      </c>
      <c r="B61" s="4">
        <v>10.7</v>
      </c>
    </row>
    <row r="62" spans="1:2" ht="15" customHeight="1" x14ac:dyDescent="0.25">
      <c r="A62" s="5" t="s">
        <v>71</v>
      </c>
      <c r="B62" s="5">
        <v>10.5</v>
      </c>
    </row>
    <row r="63" spans="1:2" ht="15" customHeight="1" x14ac:dyDescent="0.25">
      <c r="A63" s="4" t="s">
        <v>72</v>
      </c>
      <c r="B63" s="4">
        <v>10.1</v>
      </c>
    </row>
    <row r="64" spans="1:2" ht="15" customHeight="1" x14ac:dyDescent="0.25">
      <c r="A64" s="5" t="s">
        <v>73</v>
      </c>
      <c r="B64" s="5">
        <v>10.4</v>
      </c>
    </row>
    <row r="65" spans="1:2" ht="15" customHeight="1" x14ac:dyDescent="0.25">
      <c r="A65" s="4" t="s">
        <v>74</v>
      </c>
      <c r="B65" s="4">
        <v>10.1</v>
      </c>
    </row>
    <row r="66" spans="1:2" ht="15" customHeight="1" x14ac:dyDescent="0.25">
      <c r="A66" s="5" t="s">
        <v>75</v>
      </c>
      <c r="B66" s="5">
        <v>8.6999999999999993</v>
      </c>
    </row>
    <row r="67" spans="1:2" ht="15" customHeight="1" x14ac:dyDescent="0.25">
      <c r="A67" s="4" t="s">
        <v>76</v>
      </c>
      <c r="B67" s="4">
        <v>8.6999999999999993</v>
      </c>
    </row>
    <row r="68" spans="1:2" ht="15" customHeight="1" x14ac:dyDescent="0.25">
      <c r="A68" s="5" t="s">
        <v>77</v>
      </c>
      <c r="B68" s="5">
        <v>7.9</v>
      </c>
    </row>
    <row r="69" spans="1:2" ht="15" customHeight="1" x14ac:dyDescent="0.25">
      <c r="A69" s="4" t="s">
        <v>78</v>
      </c>
      <c r="B69" s="4">
        <v>6.8</v>
      </c>
    </row>
    <row r="70" spans="1:2" ht="15" customHeight="1" x14ac:dyDescent="0.25">
      <c r="A70" s="5" t="s">
        <v>79</v>
      </c>
      <c r="B70" s="5">
        <v>6.7</v>
      </c>
    </row>
    <row r="71" spans="1:2" ht="15" customHeight="1" x14ac:dyDescent="0.25">
      <c r="A71" s="4" t="s">
        <v>80</v>
      </c>
      <c r="B71" s="4">
        <v>6.7</v>
      </c>
    </row>
    <row r="72" spans="1:2" ht="15" customHeight="1" x14ac:dyDescent="0.25">
      <c r="A72" s="5" t="s">
        <v>81</v>
      </c>
      <c r="B72" s="5">
        <v>4.5999999999999996</v>
      </c>
    </row>
    <row r="73" spans="1:2" ht="15" customHeight="1" x14ac:dyDescent="0.25">
      <c r="A73" s="4" t="s">
        <v>82</v>
      </c>
      <c r="B73" s="4">
        <v>3.9</v>
      </c>
    </row>
    <row r="74" spans="1:2" ht="15" customHeight="1" x14ac:dyDescent="0.25">
      <c r="A74" s="5" t="s">
        <v>83</v>
      </c>
      <c r="B74" s="5">
        <v>4</v>
      </c>
    </row>
    <row r="75" spans="1:2" ht="15" customHeight="1" x14ac:dyDescent="0.25">
      <c r="A75" s="4" t="s">
        <v>84</v>
      </c>
      <c r="B75" s="4">
        <v>4</v>
      </c>
    </row>
    <row r="76" spans="1:2" ht="15" customHeight="1" x14ac:dyDescent="0.25">
      <c r="A76" s="5" t="s">
        <v>85</v>
      </c>
      <c r="B76" s="5">
        <v>3.4</v>
      </c>
    </row>
    <row r="77" spans="1:2" ht="15" customHeight="1" x14ac:dyDescent="0.25">
      <c r="A77" s="4" t="s">
        <v>86</v>
      </c>
      <c r="B77" s="4">
        <v>3.2</v>
      </c>
    </row>
    <row r="78" spans="1:2" ht="15" customHeight="1" x14ac:dyDescent="0.25">
      <c r="A78" s="5" t="s">
        <v>87</v>
      </c>
      <c r="B78" s="5">
        <v>2.2999999999999998</v>
      </c>
    </row>
    <row r="79" spans="1:2" ht="15" customHeight="1" x14ac:dyDescent="0.25">
      <c r="A79" s="4" t="s">
        <v>88</v>
      </c>
      <c r="B79" s="4">
        <v>2</v>
      </c>
    </row>
    <row r="80" spans="1:2" ht="15" customHeight="1" x14ac:dyDescent="0.25">
      <c r="A80" s="5" t="s">
        <v>89</v>
      </c>
      <c r="B80" s="5">
        <v>2</v>
      </c>
    </row>
    <row r="81" spans="1:2" ht="15" customHeight="1" x14ac:dyDescent="0.25">
      <c r="A81" s="4" t="s">
        <v>90</v>
      </c>
      <c r="B81" s="4">
        <v>2.2000000000000002</v>
      </c>
    </row>
    <row r="82" spans="1:2" ht="15" customHeight="1" x14ac:dyDescent="0.25">
      <c r="A82" s="5" t="s">
        <v>91</v>
      </c>
      <c r="B82" s="5">
        <v>2.2000000000000002</v>
      </c>
    </row>
    <row r="83" spans="1:2" ht="15" customHeight="1" x14ac:dyDescent="0.25">
      <c r="A83" s="4" t="s">
        <v>92</v>
      </c>
      <c r="B83" s="4">
        <v>1.7</v>
      </c>
    </row>
    <row r="84" spans="1:2" ht="15" customHeight="1" x14ac:dyDescent="0.25">
      <c r="A84" s="5" t="s">
        <v>93</v>
      </c>
      <c r="B84" s="5">
        <v>2.2999999999999998</v>
      </c>
    </row>
    <row r="85" spans="1:2" ht="15" customHeight="1" x14ac:dyDescent="0.25">
      <c r="A85" s="4" t="s">
        <v>94</v>
      </c>
      <c r="B85" s="4">
        <v>2.6</v>
      </c>
    </row>
    <row r="86" spans="1:2" ht="15" customHeight="1" x14ac:dyDescent="0.25">
      <c r="A86" s="5" t="s">
        <v>95</v>
      </c>
      <c r="B86" s="5">
        <v>2.5</v>
      </c>
    </row>
    <row r="87" spans="1:2" ht="15" customHeight="1" x14ac:dyDescent="0.25">
      <c r="A87" s="4" t="s">
        <v>96</v>
      </c>
      <c r="B87" s="4">
        <v>3</v>
      </c>
    </row>
    <row r="88" spans="1:2" ht="15" customHeight="1" x14ac:dyDescent="0.25">
      <c r="A88" s="5" t="s">
        <v>97</v>
      </c>
      <c r="B88" s="5">
        <v>2.8</v>
      </c>
    </row>
    <row r="89" spans="1:2" ht="15" customHeight="1" x14ac:dyDescent="0.25">
      <c r="A89" s="4" t="s">
        <v>98</v>
      </c>
      <c r="B89" s="4">
        <v>2.6</v>
      </c>
    </row>
    <row r="90" spans="1:2" ht="15" customHeight="1" x14ac:dyDescent="0.25">
      <c r="A90" s="5" t="s">
        <v>99</v>
      </c>
      <c r="B90" s="5">
        <v>3.5</v>
      </c>
    </row>
    <row r="91" spans="1:2" ht="15" customHeight="1" x14ac:dyDescent="0.25">
      <c r="A91" s="4" t="s">
        <v>100</v>
      </c>
      <c r="B91" s="4">
        <v>3.4</v>
      </c>
    </row>
    <row r="92" spans="1:2" ht="15" customHeight="1" x14ac:dyDescent="0.25">
      <c r="A92" s="5" t="s">
        <v>101</v>
      </c>
      <c r="B92" s="5">
        <v>3.6</v>
      </c>
    </row>
    <row r="93" spans="1:2" ht="15" customHeight="1" x14ac:dyDescent="0.25">
      <c r="A93" s="4" t="s">
        <v>102</v>
      </c>
      <c r="B93" s="4">
        <v>3.8</v>
      </c>
    </row>
    <row r="94" spans="1:2" ht="15" customHeight="1" x14ac:dyDescent="0.25">
      <c r="A94" s="5" t="s">
        <v>103</v>
      </c>
      <c r="B94" s="5">
        <v>3.8</v>
      </c>
    </row>
    <row r="95" spans="1:2" ht="15" customHeight="1" x14ac:dyDescent="0.25">
      <c r="A95" s="4" t="s">
        <v>104</v>
      </c>
      <c r="B95" s="4">
        <v>3.8</v>
      </c>
    </row>
    <row r="96" spans="1:2" ht="15" customHeight="1" x14ac:dyDescent="0.25">
      <c r="A96" s="5" t="s">
        <v>105</v>
      </c>
      <c r="B96" s="5">
        <v>3.6</v>
      </c>
    </row>
    <row r="97" spans="1:2" ht="15" customHeight="1" x14ac:dyDescent="0.25">
      <c r="A97" s="4" t="s">
        <v>106</v>
      </c>
      <c r="B97" s="4">
        <v>3.2</v>
      </c>
    </row>
    <row r="98" spans="1:2" ht="15" customHeight="1" x14ac:dyDescent="0.25">
      <c r="A98" s="5" t="s">
        <v>107</v>
      </c>
      <c r="B98" s="5">
        <v>3.4</v>
      </c>
    </row>
    <row r="99" spans="1:2" ht="15" customHeight="1" x14ac:dyDescent="0.25">
      <c r="A99" s="4" t="s">
        <v>108</v>
      </c>
      <c r="B99" s="4">
        <v>3</v>
      </c>
    </row>
    <row r="100" spans="1:2" ht="15" customHeight="1" x14ac:dyDescent="0.25">
      <c r="A100" s="5" t="s">
        <v>109</v>
      </c>
      <c r="B100" s="5">
        <v>3</v>
      </c>
    </row>
    <row r="101" spans="1:2" ht="15" customHeight="1" x14ac:dyDescent="0.25">
      <c r="A101" s="4" t="s">
        <v>110</v>
      </c>
      <c r="B101" s="4">
        <v>3.3</v>
      </c>
    </row>
    <row r="102" spans="1:2" ht="15" customHeight="1" x14ac:dyDescent="0.25">
      <c r="A102" s="5" t="s">
        <v>111</v>
      </c>
      <c r="B102" s="5">
        <v>2.8</v>
      </c>
    </row>
  </sheetData>
  <mergeCells count="1">
    <mergeCell ref="A1:B1"/>
  </mergeCells>
  <pageMargins left="0.75" right="0.75" top="1" bottom="1" header="0.511811023622047" footer="0.511811023622047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C6F21-2871-4625-BE01-F39F6B1172EA}">
  <dimension ref="A1:B102"/>
  <sheetViews>
    <sheetView showGridLines="0" zoomScaleNormal="100" workbookViewId="0">
      <selection activeCell="K14" sqref="K14"/>
    </sheetView>
  </sheetViews>
  <sheetFormatPr defaultColWidth="8.7109375" defaultRowHeight="15" x14ac:dyDescent="0.25"/>
  <cols>
    <col min="1" max="2" width="18" style="2" customWidth="1"/>
    <col min="3" max="16384" width="8.7109375" style="2"/>
  </cols>
  <sheetData>
    <row r="1" spans="1:2" ht="31.5" customHeight="1" x14ac:dyDescent="0.25">
      <c r="A1" s="1" t="s">
        <v>114</v>
      </c>
      <c r="B1" s="1"/>
    </row>
    <row r="2" spans="1:2" ht="15" customHeight="1" x14ac:dyDescent="0.25">
      <c r="A2" s="3" t="s">
        <v>1</v>
      </c>
      <c r="B2" s="3" t="s">
        <v>115</v>
      </c>
    </row>
    <row r="3" spans="1:2" ht="15" customHeight="1" x14ac:dyDescent="0.25">
      <c r="A3" s="4" t="s">
        <v>12</v>
      </c>
      <c r="B3" s="4">
        <v>0.5</v>
      </c>
    </row>
    <row r="4" spans="1:2" ht="15" customHeight="1" x14ac:dyDescent="0.25">
      <c r="A4" s="5" t="s">
        <v>13</v>
      </c>
      <c r="B4" s="5">
        <v>0.5</v>
      </c>
    </row>
    <row r="5" spans="1:2" ht="15" customHeight="1" x14ac:dyDescent="0.25">
      <c r="A5" s="4" t="s">
        <v>14</v>
      </c>
      <c r="B5" s="4">
        <v>0.5</v>
      </c>
    </row>
    <row r="6" spans="1:2" ht="15" customHeight="1" x14ac:dyDescent="0.25">
      <c r="A6" s="5" t="s">
        <v>15</v>
      </c>
      <c r="B6" s="5">
        <v>0.5</v>
      </c>
    </row>
    <row r="7" spans="1:2" ht="15" customHeight="1" x14ac:dyDescent="0.25">
      <c r="A7" s="4" t="s">
        <v>16</v>
      </c>
      <c r="B7" s="4">
        <v>0.5</v>
      </c>
    </row>
    <row r="8" spans="1:2" ht="15" customHeight="1" x14ac:dyDescent="0.25">
      <c r="A8" s="5" t="s">
        <v>17</v>
      </c>
      <c r="B8" s="5">
        <v>0.5</v>
      </c>
    </row>
    <row r="9" spans="1:2" ht="15" customHeight="1" x14ac:dyDescent="0.25">
      <c r="A9" s="4" t="s">
        <v>18</v>
      </c>
      <c r="B9" s="4">
        <v>0.5</v>
      </c>
    </row>
    <row r="10" spans="1:2" ht="15" customHeight="1" x14ac:dyDescent="0.25">
      <c r="A10" s="5" t="s">
        <v>19</v>
      </c>
      <c r="B10" s="5">
        <v>0.5</v>
      </c>
    </row>
    <row r="11" spans="1:2" ht="15" customHeight="1" x14ac:dyDescent="0.25">
      <c r="A11" s="4" t="s">
        <v>20</v>
      </c>
      <c r="B11" s="4">
        <v>0.75</v>
      </c>
    </row>
    <row r="12" spans="1:2" ht="15" customHeight="1" x14ac:dyDescent="0.25">
      <c r="A12" s="5" t="s">
        <v>21</v>
      </c>
      <c r="B12" s="5">
        <v>0.75</v>
      </c>
    </row>
    <row r="13" spans="1:2" ht="15" customHeight="1" x14ac:dyDescent="0.25">
      <c r="A13" s="4" t="s">
        <v>22</v>
      </c>
      <c r="B13" s="4">
        <v>0.75</v>
      </c>
    </row>
    <row r="14" spans="1:2" ht="15" customHeight="1" x14ac:dyDescent="0.25">
      <c r="A14" s="5" t="s">
        <v>23</v>
      </c>
      <c r="B14" s="5">
        <v>0.75</v>
      </c>
    </row>
    <row r="15" spans="1:2" ht="15" customHeight="1" x14ac:dyDescent="0.25">
      <c r="A15" s="4" t="s">
        <v>24</v>
      </c>
      <c r="B15" s="4">
        <v>0.75</v>
      </c>
    </row>
    <row r="16" spans="1:2" ht="15" customHeight="1" x14ac:dyDescent="0.25">
      <c r="A16" s="5" t="s">
        <v>25</v>
      </c>
      <c r="B16" s="5">
        <v>0.75</v>
      </c>
    </row>
    <row r="17" spans="1:2" ht="15" customHeight="1" x14ac:dyDescent="0.25">
      <c r="A17" s="4" t="s">
        <v>26</v>
      </c>
      <c r="B17" s="4">
        <v>0.75</v>
      </c>
    </row>
    <row r="18" spans="1:2" ht="15" customHeight="1" x14ac:dyDescent="0.25">
      <c r="A18" s="5" t="s">
        <v>27</v>
      </c>
      <c r="B18" s="5">
        <v>0.75</v>
      </c>
    </row>
    <row r="19" spans="1:2" ht="15" customHeight="1" x14ac:dyDescent="0.25">
      <c r="A19" s="4" t="s">
        <v>28</v>
      </c>
      <c r="B19" s="4">
        <v>0.75</v>
      </c>
    </row>
    <row r="20" spans="1:2" ht="15" customHeight="1" x14ac:dyDescent="0.25">
      <c r="A20" s="5" t="s">
        <v>29</v>
      </c>
      <c r="B20" s="5">
        <v>0.75</v>
      </c>
    </row>
    <row r="21" spans="1:2" ht="15" customHeight="1" x14ac:dyDescent="0.25">
      <c r="A21" s="4" t="s">
        <v>30</v>
      </c>
      <c r="B21" s="4">
        <v>0.75</v>
      </c>
    </row>
    <row r="22" spans="1:2" ht="15" customHeight="1" x14ac:dyDescent="0.25">
      <c r="A22" s="5" t="s">
        <v>31</v>
      </c>
      <c r="B22" s="5">
        <v>0.75</v>
      </c>
    </row>
    <row r="23" spans="1:2" ht="15" customHeight="1" x14ac:dyDescent="0.25">
      <c r="A23" s="4" t="s">
        <v>32</v>
      </c>
      <c r="B23" s="4">
        <v>0.75</v>
      </c>
    </row>
    <row r="24" spans="1:2" ht="15" customHeight="1" x14ac:dyDescent="0.25">
      <c r="A24" s="5" t="s">
        <v>33</v>
      </c>
      <c r="B24" s="5">
        <v>0.75</v>
      </c>
    </row>
    <row r="25" spans="1:2" ht="15" customHeight="1" x14ac:dyDescent="0.25">
      <c r="A25" s="4" t="s">
        <v>34</v>
      </c>
      <c r="B25" s="4">
        <v>0.75</v>
      </c>
    </row>
    <row r="26" spans="1:2" ht="15" customHeight="1" x14ac:dyDescent="0.25">
      <c r="A26" s="5" t="s">
        <v>35</v>
      </c>
      <c r="B26" s="5">
        <v>0.75</v>
      </c>
    </row>
    <row r="27" spans="1:2" ht="15" customHeight="1" x14ac:dyDescent="0.25">
      <c r="A27" s="4" t="s">
        <v>36</v>
      </c>
      <c r="B27" s="4">
        <v>0.75</v>
      </c>
    </row>
    <row r="28" spans="1:2" ht="15" customHeight="1" x14ac:dyDescent="0.25">
      <c r="A28" s="5" t="s">
        <v>37</v>
      </c>
      <c r="B28" s="5">
        <v>0.75</v>
      </c>
    </row>
    <row r="29" spans="1:2" ht="15" customHeight="1" x14ac:dyDescent="0.25">
      <c r="A29" s="4" t="s">
        <v>38</v>
      </c>
      <c r="B29" s="4">
        <v>0.75</v>
      </c>
    </row>
    <row r="30" spans="1:2" ht="15" customHeight="1" x14ac:dyDescent="0.25">
      <c r="A30" s="5" t="s">
        <v>39</v>
      </c>
      <c r="B30" s="5">
        <v>0.1</v>
      </c>
    </row>
    <row r="31" spans="1:2" ht="15" customHeight="1" x14ac:dyDescent="0.25">
      <c r="A31" s="4" t="s">
        <v>40</v>
      </c>
      <c r="B31" s="4">
        <v>0.1</v>
      </c>
    </row>
    <row r="32" spans="1:2" ht="15" customHeight="1" x14ac:dyDescent="0.25">
      <c r="A32" s="5" t="s">
        <v>41</v>
      </c>
      <c r="B32" s="5">
        <v>0.1</v>
      </c>
    </row>
    <row r="33" spans="1:2" ht="15" customHeight="1" x14ac:dyDescent="0.25">
      <c r="A33" s="4" t="s">
        <v>42</v>
      </c>
      <c r="B33" s="4">
        <v>0.1</v>
      </c>
    </row>
    <row r="34" spans="1:2" ht="15" customHeight="1" x14ac:dyDescent="0.25">
      <c r="A34" s="5" t="s">
        <v>43</v>
      </c>
      <c r="B34" s="5">
        <v>0.1</v>
      </c>
    </row>
    <row r="35" spans="1:2" ht="15" customHeight="1" x14ac:dyDescent="0.25">
      <c r="A35" s="4" t="s">
        <v>44</v>
      </c>
      <c r="B35" s="4">
        <v>0.1</v>
      </c>
    </row>
    <row r="36" spans="1:2" ht="15" customHeight="1" x14ac:dyDescent="0.25">
      <c r="A36" s="5" t="s">
        <v>45</v>
      </c>
      <c r="B36" s="5">
        <v>0.1</v>
      </c>
    </row>
    <row r="37" spans="1:2" ht="15" customHeight="1" x14ac:dyDescent="0.25">
      <c r="A37" s="4" t="s">
        <v>46</v>
      </c>
      <c r="B37" s="4">
        <v>0.1</v>
      </c>
    </row>
    <row r="38" spans="1:2" ht="15" customHeight="1" x14ac:dyDescent="0.25">
      <c r="A38" s="5" t="s">
        <v>47</v>
      </c>
      <c r="B38" s="5">
        <v>0.1</v>
      </c>
    </row>
    <row r="39" spans="1:2" ht="15" customHeight="1" x14ac:dyDescent="0.25">
      <c r="A39" s="4" t="s">
        <v>48</v>
      </c>
      <c r="B39" s="4">
        <v>0.1</v>
      </c>
    </row>
    <row r="40" spans="1:2" ht="15" customHeight="1" x14ac:dyDescent="0.25">
      <c r="A40" s="5" t="s">
        <v>49</v>
      </c>
      <c r="B40" s="5">
        <v>0.1</v>
      </c>
    </row>
    <row r="41" spans="1:2" ht="15" customHeight="1" x14ac:dyDescent="0.25">
      <c r="A41" s="4" t="s">
        <v>50</v>
      </c>
      <c r="B41" s="4">
        <v>0.1</v>
      </c>
    </row>
    <row r="42" spans="1:2" ht="15" customHeight="1" x14ac:dyDescent="0.25">
      <c r="A42" s="5" t="s">
        <v>51</v>
      </c>
      <c r="B42" s="5">
        <v>0.1</v>
      </c>
    </row>
    <row r="43" spans="1:2" ht="15" customHeight="1" x14ac:dyDescent="0.25">
      <c r="A43" s="4" t="s">
        <v>52</v>
      </c>
      <c r="B43" s="4">
        <v>0.1</v>
      </c>
    </row>
    <row r="44" spans="1:2" ht="15" customHeight="1" x14ac:dyDescent="0.25">
      <c r="A44" s="5" t="s">
        <v>53</v>
      </c>
      <c r="B44" s="5">
        <v>0.1</v>
      </c>
    </row>
    <row r="45" spans="1:2" ht="15" customHeight="1" x14ac:dyDescent="0.25">
      <c r="A45" s="4" t="s">
        <v>54</v>
      </c>
      <c r="B45" s="4">
        <v>0.1</v>
      </c>
    </row>
    <row r="46" spans="1:2" ht="15" customHeight="1" x14ac:dyDescent="0.25">
      <c r="A46" s="5" t="s">
        <v>55</v>
      </c>
      <c r="B46" s="5">
        <v>0.1</v>
      </c>
    </row>
    <row r="47" spans="1:2" ht="15" customHeight="1" x14ac:dyDescent="0.25">
      <c r="A47" s="4" t="s">
        <v>56</v>
      </c>
      <c r="B47" s="4">
        <v>0.1</v>
      </c>
    </row>
    <row r="48" spans="1:2" ht="15" customHeight="1" x14ac:dyDescent="0.25">
      <c r="A48" s="5" t="s">
        <v>57</v>
      </c>
      <c r="B48" s="5">
        <v>0.1</v>
      </c>
    </row>
    <row r="49" spans="1:2" ht="15" customHeight="1" x14ac:dyDescent="0.25">
      <c r="A49" s="4" t="s">
        <v>58</v>
      </c>
      <c r="B49" s="4">
        <v>0.1</v>
      </c>
    </row>
    <row r="50" spans="1:2" ht="15" customHeight="1" x14ac:dyDescent="0.25">
      <c r="A50" s="5" t="s">
        <v>59</v>
      </c>
      <c r="B50" s="5">
        <v>0.1</v>
      </c>
    </row>
    <row r="51" spans="1:2" ht="15" customHeight="1" x14ac:dyDescent="0.25">
      <c r="A51" s="4" t="s">
        <v>60</v>
      </c>
      <c r="B51" s="4">
        <v>0.25</v>
      </c>
    </row>
    <row r="52" spans="1:2" ht="15" customHeight="1" x14ac:dyDescent="0.25">
      <c r="A52" s="5" t="s">
        <v>61</v>
      </c>
      <c r="B52" s="5">
        <v>0.25</v>
      </c>
    </row>
    <row r="53" spans="1:2" ht="15" customHeight="1" x14ac:dyDescent="0.25">
      <c r="A53" s="4" t="s">
        <v>62</v>
      </c>
      <c r="B53" s="4">
        <v>0.5</v>
      </c>
    </row>
    <row r="54" spans="1:2" ht="15" customHeight="1" x14ac:dyDescent="0.25">
      <c r="A54" s="5" t="s">
        <v>63</v>
      </c>
      <c r="B54" s="5">
        <v>0.75</v>
      </c>
    </row>
    <row r="55" spans="1:2" ht="15" customHeight="1" x14ac:dyDescent="0.25">
      <c r="A55" s="4" t="s">
        <v>64</v>
      </c>
      <c r="B55" s="4">
        <v>0.75</v>
      </c>
    </row>
    <row r="56" spans="1:2" ht="15" customHeight="1" x14ac:dyDescent="0.25">
      <c r="A56" s="5" t="s">
        <v>65</v>
      </c>
      <c r="B56" s="5">
        <v>1</v>
      </c>
    </row>
    <row r="57" spans="1:2" ht="15" customHeight="1" x14ac:dyDescent="0.25">
      <c r="A57" s="4" t="s">
        <v>66</v>
      </c>
      <c r="B57" s="4">
        <v>1.25</v>
      </c>
    </row>
    <row r="58" spans="1:2" ht="15" customHeight="1" x14ac:dyDescent="0.25">
      <c r="A58" s="5" t="s">
        <v>67</v>
      </c>
      <c r="B58" s="5">
        <v>1.25</v>
      </c>
    </row>
    <row r="59" spans="1:2" ht="15" customHeight="1" x14ac:dyDescent="0.25">
      <c r="A59" s="4" t="s">
        <v>68</v>
      </c>
      <c r="B59" s="4">
        <v>1.75</v>
      </c>
    </row>
    <row r="60" spans="1:2" ht="15" customHeight="1" x14ac:dyDescent="0.25">
      <c r="A60" s="5" t="s">
        <v>69</v>
      </c>
      <c r="B60" s="5">
        <v>2.25</v>
      </c>
    </row>
    <row r="61" spans="1:2" ht="15" customHeight="1" x14ac:dyDescent="0.25">
      <c r="A61" s="4" t="s">
        <v>70</v>
      </c>
      <c r="B61" s="4">
        <v>2.25</v>
      </c>
    </row>
    <row r="62" spans="1:2" ht="15" customHeight="1" x14ac:dyDescent="0.25">
      <c r="A62" s="5" t="s">
        <v>71</v>
      </c>
      <c r="B62" s="5">
        <v>3</v>
      </c>
    </row>
    <row r="63" spans="1:2" ht="15" customHeight="1" x14ac:dyDescent="0.25">
      <c r="A63" s="4" t="s">
        <v>72</v>
      </c>
      <c r="B63" s="4">
        <v>3.5</v>
      </c>
    </row>
    <row r="64" spans="1:2" ht="15" customHeight="1" x14ac:dyDescent="0.25">
      <c r="A64" s="5" t="s">
        <v>73</v>
      </c>
      <c r="B64" s="5">
        <v>3.5</v>
      </c>
    </row>
    <row r="65" spans="1:2" ht="15" customHeight="1" x14ac:dyDescent="0.25">
      <c r="A65" s="4" t="s">
        <v>74</v>
      </c>
      <c r="B65" s="4">
        <v>4</v>
      </c>
    </row>
    <row r="66" spans="1:2" ht="15" customHeight="1" x14ac:dyDescent="0.25">
      <c r="A66" s="5" t="s">
        <v>75</v>
      </c>
      <c r="B66" s="5">
        <v>4.25</v>
      </c>
    </row>
    <row r="67" spans="1:2" ht="15" customHeight="1" x14ac:dyDescent="0.25">
      <c r="A67" s="4" t="s">
        <v>76</v>
      </c>
      <c r="B67" s="4">
        <v>4.25</v>
      </c>
    </row>
    <row r="68" spans="1:2" ht="15" customHeight="1" x14ac:dyDescent="0.25">
      <c r="A68" s="5" t="s">
        <v>77</v>
      </c>
      <c r="B68" s="5">
        <v>4.5</v>
      </c>
    </row>
    <row r="69" spans="1:2" ht="15" customHeight="1" x14ac:dyDescent="0.25">
      <c r="A69" s="4" t="s">
        <v>78</v>
      </c>
      <c r="B69" s="4">
        <v>5</v>
      </c>
    </row>
    <row r="70" spans="1:2" ht="15" customHeight="1" x14ac:dyDescent="0.25">
      <c r="A70" s="5" t="s">
        <v>79</v>
      </c>
      <c r="B70" s="5">
        <v>5</v>
      </c>
    </row>
    <row r="71" spans="1:2" ht="15" customHeight="1" x14ac:dyDescent="0.25">
      <c r="A71" s="4" t="s">
        <v>80</v>
      </c>
      <c r="B71" s="4">
        <v>5.25</v>
      </c>
    </row>
    <row r="72" spans="1:2" ht="15" customHeight="1" x14ac:dyDescent="0.25">
      <c r="A72" s="5" t="s">
        <v>81</v>
      </c>
      <c r="B72" s="5">
        <v>5.25</v>
      </c>
    </row>
    <row r="73" spans="1:2" ht="15" customHeight="1" x14ac:dyDescent="0.25">
      <c r="A73" s="4" t="s">
        <v>82</v>
      </c>
      <c r="B73" s="4">
        <v>5.25</v>
      </c>
    </row>
    <row r="74" spans="1:2" ht="15" customHeight="1" x14ac:dyDescent="0.25">
      <c r="A74" s="5" t="s">
        <v>83</v>
      </c>
      <c r="B74" s="5">
        <v>5.25</v>
      </c>
    </row>
    <row r="75" spans="1:2" ht="15" customHeight="1" x14ac:dyDescent="0.25">
      <c r="A75" s="4" t="s">
        <v>84</v>
      </c>
      <c r="B75" s="4">
        <v>5.25</v>
      </c>
    </row>
    <row r="76" spans="1:2" ht="15" customHeight="1" x14ac:dyDescent="0.25">
      <c r="A76" s="5" t="s">
        <v>85</v>
      </c>
      <c r="B76" s="5">
        <v>5.25</v>
      </c>
    </row>
    <row r="77" spans="1:2" ht="15" customHeight="1" x14ac:dyDescent="0.25">
      <c r="A77" s="4" t="s">
        <v>86</v>
      </c>
      <c r="B77" s="4">
        <v>5.25</v>
      </c>
    </row>
    <row r="78" spans="1:2" ht="15" customHeight="1" x14ac:dyDescent="0.25">
      <c r="A78" s="5" t="s">
        <v>87</v>
      </c>
      <c r="B78" s="5">
        <v>5.25</v>
      </c>
    </row>
    <row r="79" spans="1:2" ht="15" customHeight="1" x14ac:dyDescent="0.25">
      <c r="A79" s="4" t="s">
        <v>88</v>
      </c>
      <c r="B79" s="4">
        <v>5.25</v>
      </c>
    </row>
    <row r="80" spans="1:2" ht="15" customHeight="1" x14ac:dyDescent="0.25">
      <c r="A80" s="5" t="s">
        <v>89</v>
      </c>
      <c r="B80" s="5">
        <v>5.25</v>
      </c>
    </row>
    <row r="81" spans="1:2" ht="15" customHeight="1" x14ac:dyDescent="0.25">
      <c r="A81" s="4" t="s">
        <v>90</v>
      </c>
      <c r="B81" s="4">
        <v>5.25</v>
      </c>
    </row>
    <row r="82" spans="1:2" ht="15" customHeight="1" x14ac:dyDescent="0.25">
      <c r="A82" s="5" t="s">
        <v>91</v>
      </c>
      <c r="B82" s="5">
        <v>5</v>
      </c>
    </row>
    <row r="83" spans="1:2" ht="15" customHeight="1" x14ac:dyDescent="0.25">
      <c r="A83" s="4" t="s">
        <v>92</v>
      </c>
      <c r="B83" s="4">
        <v>5</v>
      </c>
    </row>
    <row r="84" spans="1:2" ht="15" customHeight="1" x14ac:dyDescent="0.25">
      <c r="A84" s="5" t="s">
        <v>93</v>
      </c>
      <c r="B84" s="5">
        <v>5</v>
      </c>
    </row>
    <row r="85" spans="1:2" ht="15" customHeight="1" x14ac:dyDescent="0.25">
      <c r="A85" s="4" t="s">
        <v>94</v>
      </c>
      <c r="B85" s="4">
        <v>5</v>
      </c>
    </row>
    <row r="86" spans="1:2" ht="15" customHeight="1" x14ac:dyDescent="0.25">
      <c r="A86" s="5" t="s">
        <v>95</v>
      </c>
      <c r="B86" s="5">
        <v>4.75</v>
      </c>
    </row>
    <row r="87" spans="1:2" ht="15" customHeight="1" x14ac:dyDescent="0.25">
      <c r="A87" s="4" t="s">
        <v>96</v>
      </c>
      <c r="B87" s="4">
        <v>4.75</v>
      </c>
    </row>
    <row r="88" spans="1:2" ht="15" customHeight="1" x14ac:dyDescent="0.25">
      <c r="A88" s="5" t="s">
        <v>97</v>
      </c>
      <c r="B88" s="5">
        <v>4.75</v>
      </c>
    </row>
    <row r="89" spans="1:2" ht="15" customHeight="1" x14ac:dyDescent="0.25">
      <c r="A89" s="4" t="s">
        <v>98</v>
      </c>
      <c r="B89" s="4">
        <v>4.5</v>
      </c>
    </row>
    <row r="90" spans="1:2" ht="15" customHeight="1" x14ac:dyDescent="0.25">
      <c r="A90" s="5" t="s">
        <v>99</v>
      </c>
      <c r="B90" s="5">
        <v>4.5</v>
      </c>
    </row>
    <row r="91" spans="1:2" ht="15" customHeight="1" x14ac:dyDescent="0.25">
      <c r="A91" s="4" t="s">
        <v>100</v>
      </c>
      <c r="B91" s="4">
        <v>4.5</v>
      </c>
    </row>
    <row r="92" spans="1:2" ht="15" customHeight="1" x14ac:dyDescent="0.25">
      <c r="A92" s="5" t="s">
        <v>101</v>
      </c>
      <c r="B92" s="5">
        <v>4.25</v>
      </c>
    </row>
    <row r="93" spans="1:2" ht="15" customHeight="1" x14ac:dyDescent="0.25">
      <c r="A93" s="4" t="s">
        <v>102</v>
      </c>
      <c r="B93" s="4">
        <v>4.25</v>
      </c>
    </row>
    <row r="94" spans="1:2" ht="15" customHeight="1" x14ac:dyDescent="0.25">
      <c r="A94" s="5" t="s">
        <v>103</v>
      </c>
      <c r="B94" s="5">
        <v>4.25</v>
      </c>
    </row>
    <row r="95" spans="1:2" ht="15" customHeight="1" x14ac:dyDescent="0.25">
      <c r="A95" s="4" t="s">
        <v>104</v>
      </c>
      <c r="B95" s="4">
        <v>4</v>
      </c>
    </row>
    <row r="96" spans="1:2" ht="15" customHeight="1" x14ac:dyDescent="0.25">
      <c r="A96" s="5" t="s">
        <v>105</v>
      </c>
      <c r="B96" s="5">
        <v>4</v>
      </c>
    </row>
    <row r="97" spans="1:2" ht="15" customHeight="1" x14ac:dyDescent="0.25">
      <c r="A97" s="4" t="s">
        <v>106</v>
      </c>
      <c r="B97" s="4">
        <v>4</v>
      </c>
    </row>
    <row r="98" spans="1:2" ht="15" customHeight="1" x14ac:dyDescent="0.25">
      <c r="A98" s="5" t="s">
        <v>107</v>
      </c>
      <c r="B98" s="5">
        <v>4</v>
      </c>
    </row>
    <row r="99" spans="1:2" ht="15" customHeight="1" x14ac:dyDescent="0.25">
      <c r="A99" s="4" t="s">
        <v>108</v>
      </c>
      <c r="B99" s="4">
        <v>3.75</v>
      </c>
    </row>
    <row r="100" spans="1:2" ht="15" customHeight="1" x14ac:dyDescent="0.25">
      <c r="A100" s="5" t="s">
        <v>109</v>
      </c>
      <c r="B100" s="5">
        <v>3.75</v>
      </c>
    </row>
    <row r="101" spans="1:2" ht="15" customHeight="1" x14ac:dyDescent="0.25">
      <c r="A101" s="4" t="s">
        <v>110</v>
      </c>
      <c r="B101" s="4">
        <v>3.75</v>
      </c>
    </row>
    <row r="102" spans="1:2" ht="15" customHeight="1" x14ac:dyDescent="0.25">
      <c r="A102" s="5" t="s">
        <v>111</v>
      </c>
      <c r="B102" s="5">
        <v>3.75</v>
      </c>
    </row>
  </sheetData>
  <mergeCells count="1">
    <mergeCell ref="A1:B1"/>
  </mergeCells>
  <pageMargins left="0.75" right="0.75" top="1" bottom="1" header="0.511811023622047" footer="0.511811023622047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DA2F4-068A-4277-A439-0FB1D0D7BF4E}">
  <dimension ref="A1:B102"/>
  <sheetViews>
    <sheetView showGridLines="0" zoomScaleNormal="100" workbookViewId="0">
      <selection activeCell="K14" sqref="K14"/>
    </sheetView>
  </sheetViews>
  <sheetFormatPr defaultColWidth="8.7109375" defaultRowHeight="15" x14ac:dyDescent="0.25"/>
  <cols>
    <col min="1" max="2" width="18" style="2" customWidth="1"/>
    <col min="3" max="16384" width="8.7109375" style="2"/>
  </cols>
  <sheetData>
    <row r="1" spans="1:2" ht="31.5" customHeight="1" x14ac:dyDescent="0.25">
      <c r="A1" s="1" t="s">
        <v>116</v>
      </c>
      <c r="B1" s="1"/>
    </row>
    <row r="2" spans="1:2" ht="21.75" customHeight="1" x14ac:dyDescent="0.25">
      <c r="A2" s="3" t="s">
        <v>1</v>
      </c>
      <c r="B2" s="3" t="s">
        <v>117</v>
      </c>
    </row>
    <row r="3" spans="1:2" ht="15" customHeight="1" x14ac:dyDescent="0.25">
      <c r="A3" s="4" t="s">
        <v>12</v>
      </c>
      <c r="B3" s="4">
        <v>2.64</v>
      </c>
    </row>
    <row r="4" spans="1:2" ht="15" customHeight="1" x14ac:dyDescent="0.25">
      <c r="A4" s="5" t="s">
        <v>13</v>
      </c>
      <c r="B4" s="5">
        <v>2.73</v>
      </c>
    </row>
    <row r="5" spans="1:2" ht="15" customHeight="1" x14ac:dyDescent="0.25">
      <c r="A5" s="4" t="s">
        <v>14</v>
      </c>
      <c r="B5" s="4">
        <v>2.38</v>
      </c>
    </row>
    <row r="6" spans="1:2" ht="15" customHeight="1" x14ac:dyDescent="0.25">
      <c r="A6" s="5" t="s">
        <v>15</v>
      </c>
      <c r="B6" s="5">
        <v>2.65</v>
      </c>
    </row>
    <row r="7" spans="1:2" ht="15" customHeight="1" x14ac:dyDescent="0.25">
      <c r="A7" s="4" t="s">
        <v>16</v>
      </c>
      <c r="B7" s="4">
        <v>2.56</v>
      </c>
    </row>
    <row r="8" spans="1:2" ht="15" customHeight="1" x14ac:dyDescent="0.25">
      <c r="A8" s="5" t="s">
        <v>17</v>
      </c>
      <c r="B8" s="5">
        <v>2.14</v>
      </c>
    </row>
    <row r="9" spans="1:2" ht="15" customHeight="1" x14ac:dyDescent="0.25">
      <c r="A9" s="4" t="s">
        <v>18</v>
      </c>
      <c r="B9" s="4">
        <v>3.31</v>
      </c>
    </row>
    <row r="10" spans="1:2" ht="15" customHeight="1" x14ac:dyDescent="0.25">
      <c r="A10" s="5" t="s">
        <v>19</v>
      </c>
      <c r="B10" s="5">
        <v>3.24</v>
      </c>
    </row>
    <row r="11" spans="1:2" ht="15" customHeight="1" x14ac:dyDescent="0.25">
      <c r="A11" s="4" t="s">
        <v>20</v>
      </c>
      <c r="B11" s="4">
        <v>2.82</v>
      </c>
    </row>
    <row r="12" spans="1:2" ht="15" customHeight="1" x14ac:dyDescent="0.25">
      <c r="A12" s="5" t="s">
        <v>21</v>
      </c>
      <c r="B12" s="5">
        <v>4.24</v>
      </c>
    </row>
    <row r="13" spans="1:2" ht="15" customHeight="1" x14ac:dyDescent="0.25">
      <c r="A13" s="4" t="s">
        <v>22</v>
      </c>
      <c r="B13" s="4">
        <v>3.15</v>
      </c>
    </row>
    <row r="14" spans="1:2" ht="15" customHeight="1" x14ac:dyDescent="0.25">
      <c r="A14" s="5" t="s">
        <v>23</v>
      </c>
      <c r="B14" s="5">
        <v>3.18</v>
      </c>
    </row>
    <row r="15" spans="1:2" ht="15" customHeight="1" x14ac:dyDescent="0.25">
      <c r="A15" s="4" t="s">
        <v>24</v>
      </c>
      <c r="B15" s="4">
        <v>3.8</v>
      </c>
    </row>
    <row r="16" spans="1:2" ht="15" customHeight="1" x14ac:dyDescent="0.25">
      <c r="A16" s="5" t="s">
        <v>25</v>
      </c>
      <c r="B16" s="5">
        <v>3.67</v>
      </c>
    </row>
    <row r="17" spans="1:2" ht="15" customHeight="1" x14ac:dyDescent="0.25">
      <c r="A17" s="4" t="s">
        <v>26</v>
      </c>
      <c r="B17" s="4">
        <v>2.31</v>
      </c>
    </row>
    <row r="18" spans="1:2" ht="15" customHeight="1" x14ac:dyDescent="0.25">
      <c r="A18" s="5" t="s">
        <v>27</v>
      </c>
      <c r="B18" s="5">
        <v>3.69</v>
      </c>
    </row>
    <row r="19" spans="1:2" ht="15" customHeight="1" x14ac:dyDescent="0.25">
      <c r="A19" s="4" t="s">
        <v>28</v>
      </c>
      <c r="B19" s="4">
        <v>4.09</v>
      </c>
    </row>
    <row r="20" spans="1:2" ht="15" customHeight="1" x14ac:dyDescent="0.25">
      <c r="A20" s="5" t="s">
        <v>29</v>
      </c>
      <c r="B20" s="5">
        <v>3.98</v>
      </c>
    </row>
    <row r="21" spans="1:2" ht="15" customHeight="1" x14ac:dyDescent="0.25">
      <c r="A21" s="4" t="s">
        <v>30</v>
      </c>
      <c r="B21" s="4">
        <v>4.03</v>
      </c>
    </row>
    <row r="22" spans="1:2" ht="15" customHeight="1" x14ac:dyDescent="0.25">
      <c r="A22" s="5" t="s">
        <v>31</v>
      </c>
      <c r="B22" s="5">
        <v>3.38</v>
      </c>
    </row>
    <row r="23" spans="1:2" ht="15" customHeight="1" x14ac:dyDescent="0.25">
      <c r="A23" s="4" t="s">
        <v>32</v>
      </c>
      <c r="B23" s="4">
        <v>3.96</v>
      </c>
    </row>
    <row r="24" spans="1:2" ht="15" customHeight="1" x14ac:dyDescent="0.25">
      <c r="A24" s="5" t="s">
        <v>33</v>
      </c>
      <c r="B24" s="5">
        <v>2.41</v>
      </c>
    </row>
    <row r="25" spans="1:2" ht="15" customHeight="1" x14ac:dyDescent="0.25">
      <c r="A25" s="4" t="s">
        <v>34</v>
      </c>
      <c r="B25" s="4">
        <v>3.23</v>
      </c>
    </row>
    <row r="26" spans="1:2" ht="15" customHeight="1" x14ac:dyDescent="0.25">
      <c r="A26" s="5" t="s">
        <v>35</v>
      </c>
      <c r="B26" s="5">
        <v>2.57</v>
      </c>
    </row>
    <row r="27" spans="1:2" ht="15" customHeight="1" x14ac:dyDescent="0.25">
      <c r="A27" s="4" t="s">
        <v>36</v>
      </c>
      <c r="B27" s="4">
        <v>3.11</v>
      </c>
    </row>
    <row r="28" spans="1:2" ht="15" customHeight="1" x14ac:dyDescent="0.25">
      <c r="A28" s="5" t="s">
        <v>37</v>
      </c>
      <c r="B28" s="5">
        <v>2.84</v>
      </c>
    </row>
    <row r="29" spans="1:2" ht="15" customHeight="1" x14ac:dyDescent="0.25">
      <c r="A29" s="4" t="s">
        <v>38</v>
      </c>
      <c r="B29" s="4">
        <v>0.73</v>
      </c>
    </row>
    <row r="30" spans="1:2" ht="15" customHeight="1" x14ac:dyDescent="0.25">
      <c r="A30" s="5" t="s">
        <v>39</v>
      </c>
      <c r="B30" s="5">
        <v>-0.94</v>
      </c>
    </row>
    <row r="31" spans="1:2" ht="15" customHeight="1" x14ac:dyDescent="0.25">
      <c r="A31" s="4" t="s">
        <v>40</v>
      </c>
      <c r="B31" s="4">
        <v>-1</v>
      </c>
    </row>
    <row r="32" spans="1:2" ht="15" customHeight="1" x14ac:dyDescent="0.25">
      <c r="A32" s="5" t="s">
        <v>41</v>
      </c>
      <c r="B32" s="5">
        <v>-1.49</v>
      </c>
    </row>
    <row r="33" spans="1:2" ht="15" customHeight="1" x14ac:dyDescent="0.25">
      <c r="A33" s="4" t="s">
        <v>42</v>
      </c>
      <c r="B33" s="4">
        <v>-0.12</v>
      </c>
    </row>
    <row r="34" spans="1:2" ht="15" customHeight="1" x14ac:dyDescent="0.25">
      <c r="A34" s="5" t="s">
        <v>43</v>
      </c>
      <c r="B34" s="5">
        <v>2.04</v>
      </c>
    </row>
    <row r="35" spans="1:2" ht="15" customHeight="1" x14ac:dyDescent="0.25">
      <c r="A35" s="4" t="s">
        <v>44</v>
      </c>
      <c r="B35" s="4">
        <v>2.58</v>
      </c>
    </row>
    <row r="36" spans="1:2" ht="15" customHeight="1" x14ac:dyDescent="0.25">
      <c r="A36" s="5" t="s">
        <v>45</v>
      </c>
      <c r="B36" s="5">
        <v>3.73</v>
      </c>
    </row>
    <row r="37" spans="1:2" ht="15" customHeight="1" x14ac:dyDescent="0.25">
      <c r="A37" s="4" t="s">
        <v>46</v>
      </c>
      <c r="B37" s="4">
        <v>4.74</v>
      </c>
    </row>
    <row r="38" spans="1:2" ht="15" customHeight="1" x14ac:dyDescent="0.25">
      <c r="A38" s="5" t="s">
        <v>47</v>
      </c>
      <c r="B38" s="5">
        <v>5.29</v>
      </c>
    </row>
    <row r="39" spans="1:2" ht="15" customHeight="1" x14ac:dyDescent="0.25">
      <c r="A39" s="4" t="s">
        <v>48</v>
      </c>
      <c r="B39" s="4">
        <v>4.37</v>
      </c>
    </row>
    <row r="40" spans="1:2" ht="15" customHeight="1" x14ac:dyDescent="0.25">
      <c r="A40" s="5" t="s">
        <v>49</v>
      </c>
      <c r="B40" s="5">
        <v>3.96</v>
      </c>
    </row>
    <row r="41" spans="1:2" ht="15" customHeight="1" x14ac:dyDescent="0.25">
      <c r="A41" s="4" t="s">
        <v>50</v>
      </c>
      <c r="B41" s="4">
        <v>4.22</v>
      </c>
    </row>
    <row r="42" spans="1:2" ht="15" customHeight="1" x14ac:dyDescent="0.25">
      <c r="A42" s="5" t="s">
        <v>51</v>
      </c>
      <c r="B42" s="5">
        <v>8.8000000000000007</v>
      </c>
    </row>
    <row r="43" spans="1:2" ht="15" customHeight="1" x14ac:dyDescent="0.25">
      <c r="A43" s="4" t="s">
        <v>52</v>
      </c>
      <c r="B43" s="4">
        <v>9.34</v>
      </c>
    </row>
    <row r="44" spans="1:2" ht="15" customHeight="1" x14ac:dyDescent="0.25">
      <c r="A44" s="5" t="s">
        <v>53</v>
      </c>
      <c r="B44" s="5">
        <v>8.64</v>
      </c>
    </row>
    <row r="45" spans="1:2" ht="15" customHeight="1" x14ac:dyDescent="0.25">
      <c r="A45" s="4" t="s">
        <v>54</v>
      </c>
      <c r="B45" s="4">
        <v>7.28</v>
      </c>
    </row>
    <row r="46" spans="1:2" ht="15" customHeight="1" x14ac:dyDescent="0.25">
      <c r="A46" s="5" t="s">
        <v>55</v>
      </c>
      <c r="B46" s="5">
        <v>5.81</v>
      </c>
    </row>
    <row r="47" spans="1:2" ht="15" customHeight="1" x14ac:dyDescent="0.25">
      <c r="A47" s="4" t="s">
        <v>56</v>
      </c>
      <c r="B47" s="4">
        <v>4.76</v>
      </c>
    </row>
    <row r="48" spans="1:2" ht="15" customHeight="1" x14ac:dyDescent="0.25">
      <c r="A48" s="5" t="s">
        <v>57</v>
      </c>
      <c r="B48" s="5">
        <v>4.6500000000000004</v>
      </c>
    </row>
    <row r="49" spans="1:2" ht="15" customHeight="1" x14ac:dyDescent="0.25">
      <c r="A49" s="4" t="s">
        <v>58</v>
      </c>
      <c r="B49" s="4">
        <v>3.79</v>
      </c>
    </row>
    <row r="50" spans="1:2" ht="15" customHeight="1" x14ac:dyDescent="0.25">
      <c r="A50" s="5" t="s">
        <v>59</v>
      </c>
      <c r="B50" s="5">
        <v>6.22</v>
      </c>
    </row>
    <row r="51" spans="1:2" ht="15" customHeight="1" x14ac:dyDescent="0.25">
      <c r="A51" s="4" t="s">
        <v>60</v>
      </c>
      <c r="B51" s="4">
        <v>5.53</v>
      </c>
    </row>
    <row r="52" spans="1:2" ht="15" customHeight="1" x14ac:dyDescent="0.25">
      <c r="A52" s="5" t="s">
        <v>61</v>
      </c>
      <c r="B52" s="5">
        <v>6.02</v>
      </c>
    </row>
    <row r="53" spans="1:2" ht="15" customHeight="1" x14ac:dyDescent="0.25">
      <c r="A53" s="4" t="s">
        <v>62</v>
      </c>
      <c r="B53" s="4">
        <v>10.32</v>
      </c>
    </row>
    <row r="54" spans="1:2" ht="15" customHeight="1" x14ac:dyDescent="0.25">
      <c r="A54" s="5" t="s">
        <v>63</v>
      </c>
      <c r="B54" s="5">
        <v>5.14</v>
      </c>
    </row>
    <row r="55" spans="1:2" ht="15" customHeight="1" x14ac:dyDescent="0.25">
      <c r="A55" s="4" t="s">
        <v>64</v>
      </c>
      <c r="B55" s="4">
        <v>4.33</v>
      </c>
    </row>
    <row r="56" spans="1:2" ht="15" customHeight="1" x14ac:dyDescent="0.25">
      <c r="A56" s="5" t="s">
        <v>65</v>
      </c>
      <c r="B56" s="5">
        <v>6.26</v>
      </c>
    </row>
    <row r="57" spans="1:2" ht="15" customHeight="1" x14ac:dyDescent="0.25">
      <c r="A57" s="4" t="s">
        <v>66</v>
      </c>
      <c r="B57" s="4">
        <v>5.86</v>
      </c>
    </row>
    <row r="58" spans="1:2" ht="15" customHeight="1" x14ac:dyDescent="0.25">
      <c r="A58" s="5" t="s">
        <v>67</v>
      </c>
      <c r="B58" s="5">
        <v>6.18</v>
      </c>
    </row>
    <row r="59" spans="1:2" ht="15" customHeight="1" x14ac:dyDescent="0.25">
      <c r="A59" s="4" t="s">
        <v>68</v>
      </c>
      <c r="B59" s="4">
        <v>5.89</v>
      </c>
    </row>
    <row r="60" spans="1:2" ht="15" customHeight="1" x14ac:dyDescent="0.25">
      <c r="A60" s="5" t="s">
        <v>69</v>
      </c>
      <c r="B60" s="5">
        <v>6.5</v>
      </c>
    </row>
    <row r="61" spans="1:2" ht="15" customHeight="1" x14ac:dyDescent="0.25">
      <c r="A61" s="4" t="s">
        <v>70</v>
      </c>
      <c r="B61" s="4">
        <v>7.29</v>
      </c>
    </row>
    <row r="62" spans="1:2" ht="15" customHeight="1" x14ac:dyDescent="0.25">
      <c r="A62" s="5" t="s">
        <v>71</v>
      </c>
      <c r="B62" s="5">
        <v>4.88</v>
      </c>
    </row>
    <row r="63" spans="1:2" ht="15" customHeight="1" x14ac:dyDescent="0.25">
      <c r="A63" s="4" t="s">
        <v>72</v>
      </c>
      <c r="B63" s="4">
        <v>6.23</v>
      </c>
    </row>
    <row r="64" spans="1:2" ht="15" customHeight="1" x14ac:dyDescent="0.25">
      <c r="A64" s="5" t="s">
        <v>73</v>
      </c>
      <c r="B64" s="5">
        <v>6.74</v>
      </c>
    </row>
    <row r="65" spans="1:2" ht="15" customHeight="1" x14ac:dyDescent="0.25">
      <c r="A65" s="4" t="s">
        <v>74</v>
      </c>
      <c r="B65" s="4">
        <v>5.91</v>
      </c>
    </row>
    <row r="66" spans="1:2" ht="15" customHeight="1" x14ac:dyDescent="0.25">
      <c r="A66" s="5" t="s">
        <v>75</v>
      </c>
      <c r="B66" s="5">
        <v>7.67</v>
      </c>
    </row>
    <row r="67" spans="1:2" ht="15" customHeight="1" x14ac:dyDescent="0.25">
      <c r="A67" s="4" t="s">
        <v>76</v>
      </c>
      <c r="B67" s="4">
        <v>7.98</v>
      </c>
    </row>
    <row r="68" spans="1:2" ht="15" customHeight="1" x14ac:dyDescent="0.25">
      <c r="A68" s="5" t="s">
        <v>77</v>
      </c>
      <c r="B68" s="5">
        <v>9.14</v>
      </c>
    </row>
    <row r="69" spans="1:2" ht="15" customHeight="1" x14ac:dyDescent="0.25">
      <c r="A69" s="4" t="s">
        <v>78</v>
      </c>
      <c r="B69" s="4">
        <v>8.15</v>
      </c>
    </row>
    <row r="70" spans="1:2" ht="15" customHeight="1" x14ac:dyDescent="0.25">
      <c r="A70" s="5" t="s">
        <v>79</v>
      </c>
      <c r="B70" s="5">
        <v>7.22</v>
      </c>
    </row>
    <row r="71" spans="1:2" ht="15" customHeight="1" x14ac:dyDescent="0.25">
      <c r="A71" s="4" t="s">
        <v>80</v>
      </c>
      <c r="B71" s="4">
        <v>8.16</v>
      </c>
    </row>
    <row r="72" spans="1:2" ht="15" customHeight="1" x14ac:dyDescent="0.25">
      <c r="A72" s="5" t="s">
        <v>81</v>
      </c>
      <c r="B72" s="5">
        <v>5.94</v>
      </c>
    </row>
    <row r="73" spans="1:2" ht="15" customHeight="1" x14ac:dyDescent="0.25">
      <c r="A73" s="4" t="s">
        <v>82</v>
      </c>
      <c r="B73" s="4">
        <v>5.8</v>
      </c>
    </row>
    <row r="74" spans="1:2" ht="15" customHeight="1" x14ac:dyDescent="0.25">
      <c r="A74" s="5" t="s">
        <v>83</v>
      </c>
      <c r="B74" s="5">
        <v>5.74</v>
      </c>
    </row>
    <row r="75" spans="1:2" ht="15" customHeight="1" x14ac:dyDescent="0.25">
      <c r="A75" s="4" t="s">
        <v>84</v>
      </c>
      <c r="B75" s="4">
        <v>5.69</v>
      </c>
    </row>
    <row r="76" spans="1:2" ht="15" customHeight="1" x14ac:dyDescent="0.25">
      <c r="A76" s="5" t="s">
        <v>85</v>
      </c>
      <c r="B76" s="5">
        <v>5.63</v>
      </c>
    </row>
    <row r="77" spans="1:2" ht="15" customHeight="1" x14ac:dyDescent="0.25">
      <c r="A77" s="4" t="s">
        <v>86</v>
      </c>
      <c r="B77" s="4">
        <v>6.25</v>
      </c>
    </row>
    <row r="78" spans="1:2" ht="15" customHeight="1" x14ac:dyDescent="0.25">
      <c r="A78" s="5" t="s">
        <v>87</v>
      </c>
      <c r="B78" s="5">
        <v>5.55</v>
      </c>
    </row>
    <row r="79" spans="1:2" ht="15" customHeight="1" x14ac:dyDescent="0.25">
      <c r="A79" s="4" t="s">
        <v>88</v>
      </c>
      <c r="B79" s="4">
        <v>5.46</v>
      </c>
    </row>
    <row r="80" spans="1:2" ht="15" customHeight="1" x14ac:dyDescent="0.25">
      <c r="A80" s="5" t="s">
        <v>89</v>
      </c>
      <c r="B80" s="5">
        <v>3.28</v>
      </c>
    </row>
    <row r="81" spans="1:2" ht="15" customHeight="1" x14ac:dyDescent="0.25">
      <c r="A81" s="4" t="s">
        <v>90</v>
      </c>
      <c r="B81" s="4">
        <v>4.3499999999999996</v>
      </c>
    </row>
    <row r="82" spans="1:2" ht="15" customHeight="1" x14ac:dyDescent="0.25">
      <c r="A82" s="5" t="s">
        <v>91</v>
      </c>
      <c r="B82" s="5">
        <v>4.82</v>
      </c>
    </row>
    <row r="83" spans="1:2" ht="15" customHeight="1" x14ac:dyDescent="0.25">
      <c r="A83" s="4" t="s">
        <v>92</v>
      </c>
      <c r="B83" s="4">
        <v>5.0999999999999996</v>
      </c>
    </row>
    <row r="84" spans="1:2" ht="15" customHeight="1" x14ac:dyDescent="0.25">
      <c r="A84" s="5" t="s">
        <v>93</v>
      </c>
      <c r="B84" s="5">
        <v>6.05</v>
      </c>
    </row>
    <row r="85" spans="1:2" ht="15" customHeight="1" x14ac:dyDescent="0.25">
      <c r="A85" s="4" t="s">
        <v>94</v>
      </c>
      <c r="B85" s="4">
        <v>5.56</v>
      </c>
    </row>
    <row r="86" spans="1:2" ht="15" customHeight="1" x14ac:dyDescent="0.25">
      <c r="A86" s="5" t="s">
        <v>95</v>
      </c>
      <c r="B86" s="5">
        <v>6.23</v>
      </c>
    </row>
    <row r="87" spans="1:2" ht="15" customHeight="1" x14ac:dyDescent="0.25">
      <c r="A87" s="4" t="s">
        <v>96</v>
      </c>
      <c r="B87" s="4">
        <v>5.13</v>
      </c>
    </row>
    <row r="88" spans="1:2" ht="15" customHeight="1" x14ac:dyDescent="0.25">
      <c r="A88" s="5" t="s">
        <v>97</v>
      </c>
      <c r="B88" s="5">
        <v>5.69</v>
      </c>
    </row>
    <row r="89" spans="1:2" ht="15" customHeight="1" x14ac:dyDescent="0.25">
      <c r="A89" s="4" t="s">
        <v>98</v>
      </c>
      <c r="B89" s="4">
        <v>5.49</v>
      </c>
    </row>
    <row r="90" spans="1:2" ht="15" customHeight="1" x14ac:dyDescent="0.25">
      <c r="A90" s="5" t="s">
        <v>99</v>
      </c>
      <c r="B90" s="5">
        <v>4.59</v>
      </c>
    </row>
    <row r="91" spans="1:2" ht="15" customHeight="1" x14ac:dyDescent="0.25">
      <c r="A91" s="4" t="s">
        <v>100</v>
      </c>
      <c r="B91" s="4">
        <v>4.58</v>
      </c>
    </row>
    <row r="92" spans="1:2" ht="15" customHeight="1" x14ac:dyDescent="0.25">
      <c r="A92" s="5" t="s">
        <v>101</v>
      </c>
      <c r="B92" s="5">
        <v>4.79</v>
      </c>
    </row>
    <row r="93" spans="1:2" ht="15" customHeight="1" x14ac:dyDescent="0.25">
      <c r="A93" s="4" t="s">
        <v>102</v>
      </c>
      <c r="B93" s="4">
        <v>5.0199999999999996</v>
      </c>
    </row>
    <row r="94" spans="1:2" ht="15" customHeight="1" x14ac:dyDescent="0.25">
      <c r="A94" s="5" t="s">
        <v>103</v>
      </c>
      <c r="B94" s="5">
        <v>5.27</v>
      </c>
    </row>
    <row r="95" spans="1:2" ht="15" customHeight="1" x14ac:dyDescent="0.25">
      <c r="A95" s="4" t="s">
        <v>104</v>
      </c>
      <c r="B95" s="4">
        <v>4.33</v>
      </c>
    </row>
    <row r="96" spans="1:2" ht="15" customHeight="1" x14ac:dyDescent="0.25">
      <c r="A96" s="5" t="s">
        <v>105</v>
      </c>
      <c r="B96" s="5">
        <v>4.8600000000000003</v>
      </c>
    </row>
    <row r="97" spans="1:2" ht="15" customHeight="1" x14ac:dyDescent="0.25">
      <c r="A97" s="4" t="s">
        <v>106</v>
      </c>
      <c r="B97" s="4">
        <v>4.5999999999999996</v>
      </c>
    </row>
    <row r="98" spans="1:2" ht="15" customHeight="1" x14ac:dyDescent="0.25">
      <c r="A98" s="5" t="s">
        <v>107</v>
      </c>
      <c r="B98" s="5">
        <v>3.07</v>
      </c>
    </row>
    <row r="99" spans="1:2" ht="15" customHeight="1" x14ac:dyDescent="0.25">
      <c r="A99" s="4" t="s">
        <v>108</v>
      </c>
      <c r="B99" s="4">
        <v>4.6500000000000004</v>
      </c>
    </row>
    <row r="100" spans="1:2" ht="15" customHeight="1" x14ac:dyDescent="0.25">
      <c r="A100" s="5" t="s">
        <v>109</v>
      </c>
      <c r="B100" s="5">
        <v>3.87</v>
      </c>
    </row>
    <row r="101" spans="1:2" ht="15" customHeight="1" x14ac:dyDescent="0.25">
      <c r="A101" s="4" t="s">
        <v>110</v>
      </c>
      <c r="B101" s="4">
        <v>3.78</v>
      </c>
    </row>
    <row r="102" spans="1:2" ht="15" customHeight="1" x14ac:dyDescent="0.25">
      <c r="A102" s="5" t="s">
        <v>111</v>
      </c>
      <c r="B102" s="5"/>
    </row>
  </sheetData>
  <mergeCells count="1">
    <mergeCell ref="A1:B1"/>
  </mergeCells>
  <pageMargins left="0.75" right="0.75" top="1" bottom="1" header="0.511811023622047" footer="0.511811023622047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B0D2EB-8A13-4A25-B78A-1274221B6C59}">
  <dimension ref="A1:B102"/>
  <sheetViews>
    <sheetView showGridLines="0" zoomScaleNormal="100" workbookViewId="0">
      <selection activeCell="K14" sqref="K14"/>
    </sheetView>
  </sheetViews>
  <sheetFormatPr defaultColWidth="8.7109375" defaultRowHeight="15" x14ac:dyDescent="0.25"/>
  <cols>
    <col min="1" max="2" width="18" style="2" customWidth="1"/>
    <col min="3" max="16384" width="8.7109375" style="2"/>
  </cols>
  <sheetData>
    <row r="1" spans="1:2" ht="31.5" customHeight="1" x14ac:dyDescent="0.25">
      <c r="A1" s="1" t="s">
        <v>118</v>
      </c>
      <c r="B1" s="1"/>
    </row>
    <row r="2" spans="1:2" ht="21.75" customHeight="1" x14ac:dyDescent="0.25">
      <c r="A2" s="3" t="s">
        <v>1</v>
      </c>
      <c r="B2" s="3" t="s">
        <v>119</v>
      </c>
    </row>
    <row r="3" spans="1:2" ht="15" customHeight="1" x14ac:dyDescent="0.25">
      <c r="A3" s="4" t="s">
        <v>12</v>
      </c>
      <c r="B3" s="4">
        <v>1.4</v>
      </c>
    </row>
    <row r="4" spans="1:2" ht="15" customHeight="1" x14ac:dyDescent="0.25">
      <c r="A4" s="5" t="s">
        <v>13</v>
      </c>
      <c r="B4" s="5">
        <v>1.6</v>
      </c>
    </row>
    <row r="5" spans="1:2" ht="15" customHeight="1" x14ac:dyDescent="0.25">
      <c r="A5" s="4" t="s">
        <v>14</v>
      </c>
      <c r="B5" s="4">
        <v>1.4</v>
      </c>
    </row>
    <row r="6" spans="1:2" ht="15" customHeight="1" x14ac:dyDescent="0.25">
      <c r="A6" s="5" t="s">
        <v>15</v>
      </c>
      <c r="B6" s="5">
        <v>1.5</v>
      </c>
    </row>
    <row r="7" spans="1:2" ht="15" customHeight="1" x14ac:dyDescent="0.25">
      <c r="A7" s="4" t="s">
        <v>16</v>
      </c>
      <c r="B7" s="4">
        <v>1.7</v>
      </c>
    </row>
    <row r="8" spans="1:2" ht="15" customHeight="1" x14ac:dyDescent="0.25">
      <c r="A8" s="5" t="s">
        <v>17</v>
      </c>
      <c r="B8" s="5">
        <v>1.5</v>
      </c>
    </row>
    <row r="9" spans="1:2" ht="15" customHeight="1" x14ac:dyDescent="0.25">
      <c r="A9" s="4" t="s">
        <v>18</v>
      </c>
      <c r="B9" s="4">
        <v>1.5</v>
      </c>
    </row>
    <row r="10" spans="1:2" ht="15" customHeight="1" x14ac:dyDescent="0.25">
      <c r="A10" s="5" t="s">
        <v>19</v>
      </c>
      <c r="B10" s="5">
        <v>1.7</v>
      </c>
    </row>
    <row r="11" spans="1:2" ht="15" customHeight="1" x14ac:dyDescent="0.25">
      <c r="A11" s="4" t="s">
        <v>20</v>
      </c>
      <c r="B11" s="4">
        <v>1.6</v>
      </c>
    </row>
    <row r="12" spans="1:2" ht="15" customHeight="1" x14ac:dyDescent="0.25">
      <c r="A12" s="5" t="s">
        <v>21</v>
      </c>
      <c r="B12" s="5">
        <v>1.5</v>
      </c>
    </row>
    <row r="13" spans="1:2" ht="15" customHeight="1" x14ac:dyDescent="0.25">
      <c r="A13" s="4" t="s">
        <v>22</v>
      </c>
      <c r="B13" s="4">
        <v>1.7</v>
      </c>
    </row>
    <row r="14" spans="1:2" ht="15" customHeight="1" x14ac:dyDescent="0.25">
      <c r="A14" s="5" t="s">
        <v>23</v>
      </c>
      <c r="B14" s="5">
        <v>1.4</v>
      </c>
    </row>
    <row r="15" spans="1:2" ht="15" customHeight="1" x14ac:dyDescent="0.25">
      <c r="A15" s="4" t="s">
        <v>24</v>
      </c>
      <c r="B15" s="4">
        <v>1.2</v>
      </c>
    </row>
    <row r="16" spans="1:2" ht="15" customHeight="1" x14ac:dyDescent="0.25">
      <c r="A16" s="5" t="s">
        <v>25</v>
      </c>
      <c r="B16" s="5">
        <v>1.5</v>
      </c>
    </row>
    <row r="17" spans="1:2" ht="15" customHeight="1" x14ac:dyDescent="0.25">
      <c r="A17" s="4" t="s">
        <v>26</v>
      </c>
      <c r="B17" s="4">
        <v>1.9</v>
      </c>
    </row>
    <row r="18" spans="1:2" ht="15" customHeight="1" x14ac:dyDescent="0.25">
      <c r="A18" s="5" t="s">
        <v>27</v>
      </c>
      <c r="B18" s="5">
        <v>1.8</v>
      </c>
    </row>
    <row r="19" spans="1:2" ht="15" customHeight="1" x14ac:dyDescent="0.25">
      <c r="A19" s="4" t="s">
        <v>28</v>
      </c>
      <c r="B19" s="4">
        <v>1.8</v>
      </c>
    </row>
    <row r="20" spans="1:2" ht="15" customHeight="1" x14ac:dyDescent="0.25">
      <c r="A20" s="5" t="s">
        <v>29</v>
      </c>
      <c r="B20" s="5">
        <v>1.5</v>
      </c>
    </row>
    <row r="21" spans="1:2" ht="15" customHeight="1" x14ac:dyDescent="0.25">
      <c r="A21" s="4" t="s">
        <v>30</v>
      </c>
      <c r="B21" s="4">
        <v>1</v>
      </c>
    </row>
    <row r="22" spans="1:2" ht="15" customHeight="1" x14ac:dyDescent="0.25">
      <c r="A22" s="5" t="s">
        <v>31</v>
      </c>
      <c r="B22" s="5">
        <v>0.5</v>
      </c>
    </row>
    <row r="23" spans="1:2" ht="15" customHeight="1" x14ac:dyDescent="0.25">
      <c r="A23" s="4" t="s">
        <v>32</v>
      </c>
      <c r="B23" s="4">
        <v>0.4</v>
      </c>
    </row>
    <row r="24" spans="1:2" ht="15" customHeight="1" x14ac:dyDescent="0.25">
      <c r="A24" s="5" t="s">
        <v>33</v>
      </c>
      <c r="B24" s="5">
        <v>0.9</v>
      </c>
    </row>
    <row r="25" spans="1:2" ht="15" customHeight="1" x14ac:dyDescent="0.25">
      <c r="A25" s="4" t="s">
        <v>34</v>
      </c>
      <c r="B25" s="4">
        <v>1.1000000000000001</v>
      </c>
    </row>
    <row r="26" spans="1:2" ht="15" customHeight="1" x14ac:dyDescent="0.25">
      <c r="A26" s="5" t="s">
        <v>35</v>
      </c>
      <c r="B26" s="5">
        <v>1.1000000000000001</v>
      </c>
    </row>
    <row r="27" spans="1:2" ht="15" customHeight="1" x14ac:dyDescent="0.25">
      <c r="A27" s="4" t="s">
        <v>36</v>
      </c>
      <c r="B27" s="4">
        <v>0.6</v>
      </c>
    </row>
    <row r="28" spans="1:2" ht="15" customHeight="1" x14ac:dyDescent="0.25">
      <c r="A28" s="5" t="s">
        <v>37</v>
      </c>
      <c r="B28" s="5">
        <v>0.3</v>
      </c>
    </row>
    <row r="29" spans="1:2" ht="15" customHeight="1" x14ac:dyDescent="0.25">
      <c r="A29" s="4" t="s">
        <v>38</v>
      </c>
      <c r="B29" s="4">
        <v>-6.2</v>
      </c>
    </row>
    <row r="30" spans="1:2" ht="15" customHeight="1" x14ac:dyDescent="0.25">
      <c r="A30" s="5" t="s">
        <v>39</v>
      </c>
      <c r="B30" s="5">
        <v>-24.5</v>
      </c>
    </row>
    <row r="31" spans="1:2" ht="15" customHeight="1" x14ac:dyDescent="0.25">
      <c r="A31" s="4" t="s">
        <v>40</v>
      </c>
      <c r="B31" s="4">
        <v>-20.8</v>
      </c>
    </row>
    <row r="32" spans="1:2" ht="15" customHeight="1" x14ac:dyDescent="0.25">
      <c r="A32" s="5" t="s">
        <v>41</v>
      </c>
      <c r="B32" s="5">
        <v>-17.2</v>
      </c>
    </row>
    <row r="33" spans="1:2" ht="15" customHeight="1" x14ac:dyDescent="0.25">
      <c r="A33" s="4" t="s">
        <v>42</v>
      </c>
      <c r="B33" s="4">
        <v>-7</v>
      </c>
    </row>
    <row r="34" spans="1:2" ht="15" customHeight="1" x14ac:dyDescent="0.25">
      <c r="A34" s="5" t="s">
        <v>43</v>
      </c>
      <c r="B34" s="5">
        <v>-6</v>
      </c>
    </row>
    <row r="35" spans="1:2" ht="15" customHeight="1" x14ac:dyDescent="0.25">
      <c r="A35" s="4" t="s">
        <v>44</v>
      </c>
      <c r="B35" s="4">
        <v>-8.5</v>
      </c>
    </row>
    <row r="36" spans="1:2" ht="15" customHeight="1" x14ac:dyDescent="0.25">
      <c r="A36" s="5" t="s">
        <v>45</v>
      </c>
      <c r="B36" s="5">
        <v>-7.5</v>
      </c>
    </row>
    <row r="37" spans="1:2" ht="15" customHeight="1" x14ac:dyDescent="0.25">
      <c r="A37" s="4" t="s">
        <v>46</v>
      </c>
      <c r="B37" s="4">
        <v>-8.9</v>
      </c>
    </row>
    <row r="38" spans="1:2" ht="15" customHeight="1" x14ac:dyDescent="0.25">
      <c r="A38" s="5" t="s">
        <v>47</v>
      </c>
      <c r="B38" s="5">
        <v>-6.3</v>
      </c>
    </row>
    <row r="39" spans="1:2" ht="15" customHeight="1" x14ac:dyDescent="0.25">
      <c r="A39" s="4" t="s">
        <v>48</v>
      </c>
      <c r="B39" s="4">
        <v>-7.5</v>
      </c>
    </row>
    <row r="40" spans="1:2" ht="15" customHeight="1" x14ac:dyDescent="0.25">
      <c r="A40" s="5" t="s">
        <v>49</v>
      </c>
      <c r="B40" s="5">
        <v>-5.2</v>
      </c>
    </row>
    <row r="41" spans="1:2" ht="15" customHeight="1" x14ac:dyDescent="0.25">
      <c r="A41" s="4" t="s">
        <v>50</v>
      </c>
      <c r="B41" s="4">
        <v>-1.3</v>
      </c>
    </row>
    <row r="42" spans="1:2" ht="15" customHeight="1" x14ac:dyDescent="0.25">
      <c r="A42" s="5" t="s">
        <v>51</v>
      </c>
      <c r="B42" s="5">
        <v>27.5</v>
      </c>
    </row>
    <row r="43" spans="1:2" ht="15" customHeight="1" x14ac:dyDescent="0.25">
      <c r="A43" s="4" t="s">
        <v>52</v>
      </c>
      <c r="B43" s="4">
        <v>24.3</v>
      </c>
    </row>
    <row r="44" spans="1:2" ht="15" customHeight="1" x14ac:dyDescent="0.25">
      <c r="A44" s="5" t="s">
        <v>53</v>
      </c>
      <c r="B44" s="5">
        <v>22.8</v>
      </c>
    </row>
    <row r="45" spans="1:2" ht="15" customHeight="1" x14ac:dyDescent="0.25">
      <c r="A45" s="4" t="s">
        <v>54</v>
      </c>
      <c r="B45" s="4">
        <v>7</v>
      </c>
    </row>
    <row r="46" spans="1:2" ht="15" customHeight="1" x14ac:dyDescent="0.25">
      <c r="A46" s="5" t="s">
        <v>55</v>
      </c>
      <c r="B46" s="5">
        <v>6.2</v>
      </c>
    </row>
    <row r="47" spans="1:2" ht="15" customHeight="1" x14ac:dyDescent="0.25">
      <c r="A47" s="4" t="s">
        <v>56</v>
      </c>
      <c r="B47" s="4">
        <v>5.4</v>
      </c>
    </row>
    <row r="48" spans="1:2" ht="15" customHeight="1" x14ac:dyDescent="0.25">
      <c r="A48" s="5" t="s">
        <v>57</v>
      </c>
      <c r="B48" s="5">
        <v>4.7</v>
      </c>
    </row>
    <row r="49" spans="1:2" ht="15" customHeight="1" x14ac:dyDescent="0.25">
      <c r="A49" s="4" t="s">
        <v>58</v>
      </c>
      <c r="B49" s="4">
        <v>5.9</v>
      </c>
    </row>
    <row r="50" spans="1:2" ht="15" customHeight="1" x14ac:dyDescent="0.25">
      <c r="A50" s="5" t="s">
        <v>59</v>
      </c>
      <c r="B50" s="5">
        <v>6.3</v>
      </c>
    </row>
    <row r="51" spans="1:2" ht="15" customHeight="1" x14ac:dyDescent="0.25">
      <c r="A51" s="4" t="s">
        <v>60</v>
      </c>
      <c r="B51" s="4">
        <v>9.3000000000000007</v>
      </c>
    </row>
    <row r="52" spans="1:2" ht="15" customHeight="1" x14ac:dyDescent="0.25">
      <c r="A52" s="5" t="s">
        <v>61</v>
      </c>
      <c r="B52" s="5">
        <v>9.6999999999999993</v>
      </c>
    </row>
    <row r="53" spans="1:2" ht="15" customHeight="1" x14ac:dyDescent="0.25">
      <c r="A53" s="4" t="s">
        <v>62</v>
      </c>
      <c r="B53" s="4">
        <v>8.6</v>
      </c>
    </row>
    <row r="54" spans="1:2" ht="15" customHeight="1" x14ac:dyDescent="0.25">
      <c r="A54" s="5" t="s">
        <v>63</v>
      </c>
      <c r="B54" s="5">
        <v>3.4</v>
      </c>
    </row>
    <row r="55" spans="1:2" ht="15" customHeight="1" x14ac:dyDescent="0.25">
      <c r="A55" s="4" t="s">
        <v>64</v>
      </c>
      <c r="B55" s="4">
        <v>2.7</v>
      </c>
    </row>
    <row r="56" spans="1:2" ht="15" customHeight="1" x14ac:dyDescent="0.25">
      <c r="A56" s="5" t="s">
        <v>65</v>
      </c>
      <c r="B56" s="5">
        <v>2.1</v>
      </c>
    </row>
    <row r="57" spans="1:2" ht="15" customHeight="1" x14ac:dyDescent="0.25">
      <c r="A57" s="4" t="s">
        <v>66</v>
      </c>
      <c r="B57" s="4">
        <v>1.8</v>
      </c>
    </row>
    <row r="58" spans="1:2" ht="15" customHeight="1" x14ac:dyDescent="0.25">
      <c r="A58" s="5" t="s">
        <v>67</v>
      </c>
      <c r="B58" s="5">
        <v>1.7</v>
      </c>
    </row>
    <row r="59" spans="1:2" ht="15" customHeight="1" x14ac:dyDescent="0.25">
      <c r="A59" s="4" t="s">
        <v>68</v>
      </c>
      <c r="B59" s="4">
        <v>0.6</v>
      </c>
    </row>
    <row r="60" spans="1:2" ht="15" customHeight="1" x14ac:dyDescent="0.25">
      <c r="A60" s="5" t="s">
        <v>69</v>
      </c>
      <c r="B60" s="5">
        <v>-0.4</v>
      </c>
    </row>
    <row r="61" spans="1:2" ht="15" customHeight="1" x14ac:dyDescent="0.25">
      <c r="A61" s="4" t="s">
        <v>70</v>
      </c>
      <c r="B61" s="4">
        <v>-0.6</v>
      </c>
    </row>
    <row r="62" spans="1:2" ht="15" customHeight="1" x14ac:dyDescent="0.25">
      <c r="A62" s="5" t="s">
        <v>71</v>
      </c>
      <c r="B62" s="5">
        <v>0.3</v>
      </c>
    </row>
    <row r="63" spans="1:2" ht="15" customHeight="1" x14ac:dyDescent="0.25">
      <c r="A63" s="4" t="s">
        <v>72</v>
      </c>
      <c r="B63" s="4">
        <v>0.3</v>
      </c>
    </row>
    <row r="64" spans="1:2" ht="15" customHeight="1" x14ac:dyDescent="0.25">
      <c r="A64" s="5" t="s">
        <v>73</v>
      </c>
      <c r="B64" s="5">
        <v>-0.2</v>
      </c>
    </row>
    <row r="65" spans="1:2" ht="15" customHeight="1" x14ac:dyDescent="0.25">
      <c r="A65" s="4" t="s">
        <v>74</v>
      </c>
      <c r="B65" s="4">
        <v>0.3</v>
      </c>
    </row>
    <row r="66" spans="1:2" ht="15" customHeight="1" x14ac:dyDescent="0.25">
      <c r="A66" s="5" t="s">
        <v>75</v>
      </c>
      <c r="B66" s="5">
        <v>0.2</v>
      </c>
    </row>
    <row r="67" spans="1:2" ht="15" customHeight="1" x14ac:dyDescent="0.25">
      <c r="A67" s="4" t="s">
        <v>76</v>
      </c>
      <c r="B67" s="4">
        <v>0.3</v>
      </c>
    </row>
    <row r="68" spans="1:2" ht="15" customHeight="1" x14ac:dyDescent="0.25">
      <c r="A68" s="5" t="s">
        <v>77</v>
      </c>
      <c r="B68" s="5">
        <v>0.5</v>
      </c>
    </row>
    <row r="69" spans="1:2" ht="15" customHeight="1" x14ac:dyDescent="0.25">
      <c r="A69" s="4" t="s">
        <v>78</v>
      </c>
      <c r="B69" s="4">
        <v>0.9</v>
      </c>
    </row>
    <row r="70" spans="1:2" ht="15" customHeight="1" x14ac:dyDescent="0.25">
      <c r="A70" s="5" t="s">
        <v>79</v>
      </c>
      <c r="B70" s="5">
        <v>0.6</v>
      </c>
    </row>
    <row r="71" spans="1:2" ht="15" customHeight="1" x14ac:dyDescent="0.25">
      <c r="A71" s="4" t="s">
        <v>80</v>
      </c>
      <c r="B71" s="4">
        <v>0.4</v>
      </c>
    </row>
    <row r="72" spans="1:2" ht="15" customHeight="1" x14ac:dyDescent="0.25">
      <c r="A72" s="5" t="s">
        <v>81</v>
      </c>
      <c r="B72" s="5">
        <v>0.2</v>
      </c>
    </row>
    <row r="73" spans="1:2" ht="15" customHeight="1" x14ac:dyDescent="0.25">
      <c r="A73" s="4" t="s">
        <v>82</v>
      </c>
      <c r="B73" s="4">
        <v>0.3</v>
      </c>
    </row>
    <row r="74" spans="1:2" ht="15" customHeight="1" x14ac:dyDescent="0.25">
      <c r="A74" s="5" t="s">
        <v>83</v>
      </c>
      <c r="B74" s="5">
        <v>0.2</v>
      </c>
    </row>
    <row r="75" spans="1:2" ht="15" customHeight="1" x14ac:dyDescent="0.25">
      <c r="A75" s="4" t="s">
        <v>84</v>
      </c>
      <c r="B75" s="4">
        <v>0.2</v>
      </c>
    </row>
    <row r="76" spans="1:2" ht="15" customHeight="1" x14ac:dyDescent="0.25">
      <c r="A76" s="5" t="s">
        <v>85</v>
      </c>
      <c r="B76" s="5">
        <v>0.3</v>
      </c>
    </row>
    <row r="77" spans="1:2" ht="15" customHeight="1" x14ac:dyDescent="0.25">
      <c r="A77" s="4" t="s">
        <v>86</v>
      </c>
      <c r="B77" s="4">
        <v>0.4</v>
      </c>
    </row>
    <row r="78" spans="1:2" ht="15" customHeight="1" x14ac:dyDescent="0.25">
      <c r="A78" s="5" t="s">
        <v>87</v>
      </c>
      <c r="B78" s="5">
        <v>0.6</v>
      </c>
    </row>
    <row r="79" spans="1:2" ht="15" customHeight="1" x14ac:dyDescent="0.25">
      <c r="A79" s="4" t="s">
        <v>88</v>
      </c>
      <c r="B79" s="4">
        <v>1.2</v>
      </c>
    </row>
    <row r="80" spans="1:2" ht="15" customHeight="1" x14ac:dyDescent="0.25">
      <c r="A80" s="5" t="s">
        <v>89</v>
      </c>
      <c r="B80" s="5">
        <v>0.4</v>
      </c>
    </row>
    <row r="81" spans="1:2" ht="15" customHeight="1" x14ac:dyDescent="0.25">
      <c r="A81" s="4" t="s">
        <v>90</v>
      </c>
      <c r="B81" s="4">
        <v>0.7</v>
      </c>
    </row>
    <row r="82" spans="1:2" ht="15" customHeight="1" x14ac:dyDescent="0.25">
      <c r="A82" s="5" t="s">
        <v>91</v>
      </c>
      <c r="B82" s="5">
        <v>1.1000000000000001</v>
      </c>
    </row>
    <row r="83" spans="1:2" ht="15" customHeight="1" x14ac:dyDescent="0.25">
      <c r="A83" s="4" t="s">
        <v>92</v>
      </c>
      <c r="B83" s="4">
        <v>1.1000000000000001</v>
      </c>
    </row>
    <row r="84" spans="1:2" ht="15" customHeight="1" x14ac:dyDescent="0.25">
      <c r="A84" s="5" t="s">
        <v>93</v>
      </c>
      <c r="B84" s="5">
        <v>1.6</v>
      </c>
    </row>
    <row r="85" spans="1:2" ht="15" customHeight="1" x14ac:dyDescent="0.25">
      <c r="A85" s="4" t="s">
        <v>94</v>
      </c>
      <c r="B85" s="4">
        <v>1.4</v>
      </c>
    </row>
    <row r="86" spans="1:2" ht="15" customHeight="1" x14ac:dyDescent="0.25">
      <c r="A86" s="5" t="s">
        <v>95</v>
      </c>
      <c r="B86" s="5">
        <v>2.1</v>
      </c>
    </row>
    <row r="87" spans="1:2" ht="15" customHeight="1" x14ac:dyDescent="0.25">
      <c r="A87" s="4" t="s">
        <v>96</v>
      </c>
      <c r="B87" s="4">
        <v>1.6</v>
      </c>
    </row>
    <row r="88" spans="1:2" ht="15" customHeight="1" x14ac:dyDescent="0.25">
      <c r="A88" s="5" t="s">
        <v>97</v>
      </c>
      <c r="B88" s="5">
        <v>1.8</v>
      </c>
    </row>
    <row r="89" spans="1:2" ht="15" customHeight="1" x14ac:dyDescent="0.25">
      <c r="A89" s="4" t="s">
        <v>98</v>
      </c>
      <c r="B89" s="4">
        <v>1.6</v>
      </c>
    </row>
    <row r="90" spans="1:2" ht="15" customHeight="1" x14ac:dyDescent="0.25">
      <c r="A90" s="5" t="s">
        <v>99</v>
      </c>
      <c r="B90" s="5">
        <v>1.3</v>
      </c>
    </row>
    <row r="91" spans="1:2" ht="15" customHeight="1" x14ac:dyDescent="0.25">
      <c r="A91" s="4" t="s">
        <v>100</v>
      </c>
      <c r="B91" s="4">
        <v>0.9</v>
      </c>
    </row>
    <row r="92" spans="1:2" ht="15" customHeight="1" x14ac:dyDescent="0.25">
      <c r="A92" s="5" t="s">
        <v>101</v>
      </c>
      <c r="B92" s="5">
        <v>1.5</v>
      </c>
    </row>
    <row r="93" spans="1:2" ht="15" customHeight="1" x14ac:dyDescent="0.25">
      <c r="A93" s="4" t="s">
        <v>102</v>
      </c>
      <c r="B93" s="4">
        <v>1.6</v>
      </c>
    </row>
    <row r="94" spans="1:2" ht="15" customHeight="1" x14ac:dyDescent="0.25">
      <c r="A94" s="5" t="s">
        <v>103</v>
      </c>
      <c r="B94" s="5">
        <v>1</v>
      </c>
    </row>
    <row r="95" spans="1:2" ht="15" customHeight="1" x14ac:dyDescent="0.25">
      <c r="A95" s="4" t="s">
        <v>104</v>
      </c>
      <c r="B95" s="4">
        <v>1.1000000000000001</v>
      </c>
    </row>
    <row r="96" spans="1:2" ht="15" customHeight="1" x14ac:dyDescent="0.25">
      <c r="A96" s="5" t="s">
        <v>105</v>
      </c>
      <c r="B96" s="5">
        <v>1</v>
      </c>
    </row>
    <row r="97" spans="1:2" ht="15" customHeight="1" x14ac:dyDescent="0.25">
      <c r="A97" s="4" t="s">
        <v>106</v>
      </c>
      <c r="B97" s="4">
        <v>1.1000000000000001</v>
      </c>
    </row>
    <row r="98" spans="1:2" ht="15" customHeight="1" x14ac:dyDescent="0.25">
      <c r="A98" s="5" t="s">
        <v>107</v>
      </c>
      <c r="B98" s="5">
        <v>0.9</v>
      </c>
    </row>
    <row r="99" spans="1:2" ht="15" customHeight="1" x14ac:dyDescent="0.25">
      <c r="A99" s="4" t="s">
        <v>108</v>
      </c>
      <c r="B99" s="4">
        <v>0.9</v>
      </c>
    </row>
    <row r="100" spans="1:2" ht="15" customHeight="1" x14ac:dyDescent="0.25">
      <c r="A100" s="5" t="s">
        <v>109</v>
      </c>
      <c r="B100" s="5">
        <v>1</v>
      </c>
    </row>
    <row r="101" spans="1:2" ht="15" customHeight="1" x14ac:dyDescent="0.25">
      <c r="A101" s="4" t="s">
        <v>110</v>
      </c>
      <c r="B101" s="4">
        <v>1.2</v>
      </c>
    </row>
    <row r="102" spans="1:2" ht="15" customHeight="1" x14ac:dyDescent="0.25">
      <c r="A102" s="5" t="s">
        <v>111</v>
      </c>
      <c r="B102" s="5">
        <v>1.2</v>
      </c>
    </row>
  </sheetData>
  <mergeCells count="1">
    <mergeCell ref="A1:B1"/>
  </mergeCells>
  <pageMargins left="0.75" right="0.75" top="1" bottom="1" header="0.511811023622047" footer="0.511811023622047"/>
  <pageSetup paperSize="9"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A827FB-09D3-4B1D-9D4B-7B593BB18FA7}">
  <dimension ref="A1:T102"/>
  <sheetViews>
    <sheetView showGridLines="0" zoomScaleNormal="100" workbookViewId="0">
      <selection activeCell="K14" sqref="K14"/>
    </sheetView>
  </sheetViews>
  <sheetFormatPr defaultColWidth="8.7109375" defaultRowHeight="15" x14ac:dyDescent="0.25"/>
  <cols>
    <col min="1" max="11" width="12" style="2" customWidth="1"/>
    <col min="12" max="15" width="10" style="2" customWidth="1"/>
    <col min="16" max="18" width="13" style="2" customWidth="1"/>
    <col min="19" max="20" width="8" style="2" customWidth="1"/>
    <col min="21" max="16384" width="8.7109375" style="2"/>
  </cols>
  <sheetData>
    <row r="1" spans="1:20" ht="30" customHeight="1" x14ac:dyDescent="0.25">
      <c r="A1" s="6" t="s">
        <v>120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</row>
    <row r="2" spans="1:20" ht="21.75" customHeight="1" x14ac:dyDescent="0.25">
      <c r="A2" s="7" t="s">
        <v>121</v>
      </c>
      <c r="B2" s="7" t="s">
        <v>122</v>
      </c>
      <c r="C2" s="7" t="s">
        <v>123</v>
      </c>
      <c r="D2" s="7" t="s">
        <v>124</v>
      </c>
      <c r="E2" s="7" t="s">
        <v>125</v>
      </c>
      <c r="F2" s="7" t="s">
        <v>126</v>
      </c>
      <c r="G2" s="7" t="s">
        <v>127</v>
      </c>
      <c r="H2" s="7" t="s">
        <v>128</v>
      </c>
      <c r="I2" s="7" t="s">
        <v>129</v>
      </c>
      <c r="J2" s="7" t="s">
        <v>130</v>
      </c>
      <c r="K2" s="7" t="s">
        <v>131</v>
      </c>
      <c r="L2" s="7" t="s">
        <v>132</v>
      </c>
      <c r="M2" s="7" t="s">
        <v>133</v>
      </c>
      <c r="N2" s="7" t="s">
        <v>134</v>
      </c>
      <c r="O2" s="7" t="s">
        <v>135</v>
      </c>
      <c r="P2" s="7" t="s">
        <v>136</v>
      </c>
      <c r="Q2" s="7" t="s">
        <v>137</v>
      </c>
      <c r="R2" s="7" t="s">
        <v>138</v>
      </c>
      <c r="S2" s="7" t="s">
        <v>139</v>
      </c>
      <c r="T2" s="7" t="s">
        <v>140</v>
      </c>
    </row>
    <row r="3" spans="1:20" ht="15.75" customHeight="1" x14ac:dyDescent="0.25">
      <c r="A3" s="8" t="s">
        <v>12</v>
      </c>
      <c r="B3" s="9">
        <v>98.9</v>
      </c>
      <c r="C3" s="9">
        <v>101.5</v>
      </c>
      <c r="D3" s="9">
        <v>103.1</v>
      </c>
      <c r="E3" s="9">
        <v>98.9</v>
      </c>
      <c r="F3" s="9">
        <v>111.1</v>
      </c>
      <c r="G3" s="9">
        <v>71.8</v>
      </c>
      <c r="H3" s="9">
        <v>4.5999999999999996</v>
      </c>
      <c r="I3" s="9">
        <v>2.8</v>
      </c>
      <c r="J3" s="9">
        <v>5.0999999999999996</v>
      </c>
      <c r="K3" s="9">
        <v>3.1</v>
      </c>
      <c r="L3" s="9">
        <v>3</v>
      </c>
      <c r="M3" s="9">
        <v>0.5</v>
      </c>
      <c r="N3" s="9">
        <v>2.64</v>
      </c>
      <c r="O3" s="9">
        <v>1.4</v>
      </c>
      <c r="P3" s="10">
        <f t="shared" ref="P3:P66" si="0">IF(AND(H3&lt;&gt;"",L3&lt;&gt;""),H3-L3,"")</f>
        <v>1.5999999999999996</v>
      </c>
      <c r="Q3" s="10">
        <f t="shared" ref="Q3:Q66" si="1">IF(AND(N3&lt;&gt;"",L3&lt;&gt;""),N3-L3,"")</f>
        <v>-0.35999999999999988</v>
      </c>
      <c r="R3" s="10">
        <v>100</v>
      </c>
      <c r="S3" s="4">
        <f t="shared" ref="S3:S66" si="2">IF(A3&lt;&gt;"",LEFT(A3,4)*1,"")</f>
        <v>2018</v>
      </c>
      <c r="T3" s="4" t="str">
        <f t="shared" ref="T3:T66" si="3">IF(A3&lt;&gt;"","Q"&amp;INT((MID(A3,6,2)*1-1)/3)+1,"")</f>
        <v>Q1</v>
      </c>
    </row>
    <row r="4" spans="1:20" ht="15.75" customHeight="1" x14ac:dyDescent="0.25">
      <c r="A4" s="11" t="s">
        <v>13</v>
      </c>
      <c r="B4" s="12">
        <v>99.4</v>
      </c>
      <c r="C4" s="12">
        <v>102.5</v>
      </c>
      <c r="D4" s="12">
        <v>102.3</v>
      </c>
      <c r="E4" s="12">
        <v>98.5</v>
      </c>
      <c r="F4" s="12">
        <v>112</v>
      </c>
      <c r="G4" s="12">
        <v>74.2</v>
      </c>
      <c r="H4" s="12">
        <v>4.2</v>
      </c>
      <c r="I4" s="12">
        <v>2.7</v>
      </c>
      <c r="J4" s="12">
        <v>3.6</v>
      </c>
      <c r="K4" s="12">
        <v>1.7</v>
      </c>
      <c r="L4" s="12">
        <v>2.7</v>
      </c>
      <c r="M4" s="12">
        <v>0.5</v>
      </c>
      <c r="N4" s="12">
        <v>2.73</v>
      </c>
      <c r="O4" s="12">
        <v>1.6</v>
      </c>
      <c r="P4" s="13">
        <f t="shared" si="0"/>
        <v>1.5</v>
      </c>
      <c r="Q4" s="13">
        <f t="shared" si="1"/>
        <v>2.9999999999999805E-2</v>
      </c>
      <c r="R4" s="13">
        <f t="shared" ref="R4:R67" si="4">IF(R3&lt;&gt;"",R3*(1+IFERROR(Q4/100,0)),"")</f>
        <v>100.03</v>
      </c>
      <c r="S4" s="5">
        <f t="shared" si="2"/>
        <v>2018</v>
      </c>
      <c r="T4" s="5" t="str">
        <f t="shared" si="3"/>
        <v>Q1</v>
      </c>
    </row>
    <row r="5" spans="1:20" ht="15.75" customHeight="1" x14ac:dyDescent="0.25">
      <c r="A5" s="8" t="s">
        <v>14</v>
      </c>
      <c r="B5" s="9">
        <v>97.9</v>
      </c>
      <c r="C5" s="9">
        <v>101.4</v>
      </c>
      <c r="D5" s="9">
        <v>101.5</v>
      </c>
      <c r="E5" s="9">
        <v>97</v>
      </c>
      <c r="F5" s="9">
        <v>113.5</v>
      </c>
      <c r="G5" s="9">
        <v>72.7</v>
      </c>
      <c r="H5" s="9">
        <v>2.6</v>
      </c>
      <c r="I5" s="9">
        <v>1.3</v>
      </c>
      <c r="J5" s="9">
        <v>1.8</v>
      </c>
      <c r="K5" s="9">
        <v>-2.1</v>
      </c>
      <c r="L5" s="9">
        <v>2.5</v>
      </c>
      <c r="M5" s="9">
        <v>0.5</v>
      </c>
      <c r="N5" s="9">
        <v>2.38</v>
      </c>
      <c r="O5" s="9">
        <v>1.4</v>
      </c>
      <c r="P5" s="10">
        <f t="shared" si="0"/>
        <v>0.10000000000000009</v>
      </c>
      <c r="Q5" s="10">
        <f t="shared" si="1"/>
        <v>-0.12000000000000011</v>
      </c>
      <c r="R5" s="10">
        <f t="shared" si="4"/>
        <v>99.909964000000002</v>
      </c>
      <c r="S5" s="4">
        <f t="shared" si="2"/>
        <v>2018</v>
      </c>
      <c r="T5" s="4" t="str">
        <f t="shared" si="3"/>
        <v>Q1</v>
      </c>
    </row>
    <row r="6" spans="1:20" ht="15.75" customHeight="1" x14ac:dyDescent="0.25">
      <c r="A6" s="11" t="s">
        <v>15</v>
      </c>
      <c r="B6" s="12">
        <v>99.4</v>
      </c>
      <c r="C6" s="12">
        <v>102.6</v>
      </c>
      <c r="D6" s="12">
        <v>102.6</v>
      </c>
      <c r="E6" s="12">
        <v>98.1</v>
      </c>
      <c r="F6" s="12">
        <v>114.4</v>
      </c>
      <c r="G6" s="12">
        <v>74.3</v>
      </c>
      <c r="H6" s="12">
        <v>2.7</v>
      </c>
      <c r="I6" s="12">
        <v>2.2999999999999998</v>
      </c>
      <c r="J6" s="12">
        <v>0.4</v>
      </c>
      <c r="K6" s="12">
        <v>-0.1</v>
      </c>
      <c r="L6" s="12">
        <v>2.4</v>
      </c>
      <c r="M6" s="12">
        <v>0.5</v>
      </c>
      <c r="N6" s="12">
        <v>2.65</v>
      </c>
      <c r="O6" s="12">
        <v>1.5</v>
      </c>
      <c r="P6" s="13">
        <f t="shared" si="0"/>
        <v>0.30000000000000027</v>
      </c>
      <c r="Q6" s="13">
        <f t="shared" si="1"/>
        <v>0.25</v>
      </c>
      <c r="R6" s="13">
        <f t="shared" si="4"/>
        <v>100.15973891</v>
      </c>
      <c r="S6" s="5">
        <f t="shared" si="2"/>
        <v>2018</v>
      </c>
      <c r="T6" s="5" t="str">
        <f t="shared" si="3"/>
        <v>Q2</v>
      </c>
    </row>
    <row r="7" spans="1:20" ht="15.75" customHeight="1" x14ac:dyDescent="0.25">
      <c r="A7" s="8" t="s">
        <v>16</v>
      </c>
      <c r="B7" s="9">
        <v>101.2</v>
      </c>
      <c r="C7" s="9">
        <v>104.1</v>
      </c>
      <c r="D7" s="9">
        <v>104.2</v>
      </c>
      <c r="E7" s="9">
        <v>101</v>
      </c>
      <c r="F7" s="9">
        <v>114.2</v>
      </c>
      <c r="G7" s="9">
        <v>78.099999999999994</v>
      </c>
      <c r="H7" s="9">
        <v>6.4</v>
      </c>
      <c r="I7" s="9">
        <v>4.5999999999999996</v>
      </c>
      <c r="J7" s="9">
        <v>5</v>
      </c>
      <c r="K7" s="9">
        <v>2.6</v>
      </c>
      <c r="L7" s="9">
        <v>2.4</v>
      </c>
      <c r="M7" s="9">
        <v>0.5</v>
      </c>
      <c r="N7" s="9">
        <v>2.56</v>
      </c>
      <c r="O7" s="9">
        <v>1.7</v>
      </c>
      <c r="P7" s="10">
        <f t="shared" si="0"/>
        <v>4</v>
      </c>
      <c r="Q7" s="10">
        <f t="shared" si="1"/>
        <v>0.16000000000000014</v>
      </c>
      <c r="R7" s="10">
        <f t="shared" si="4"/>
        <v>100.319994492256</v>
      </c>
      <c r="S7" s="4">
        <f t="shared" si="2"/>
        <v>2018</v>
      </c>
      <c r="T7" s="4" t="str">
        <f t="shared" si="3"/>
        <v>Q2</v>
      </c>
    </row>
    <row r="8" spans="1:20" ht="15.75" customHeight="1" x14ac:dyDescent="0.25">
      <c r="A8" s="11" t="s">
        <v>17</v>
      </c>
      <c r="B8" s="12">
        <v>100.8</v>
      </c>
      <c r="C8" s="12">
        <v>104</v>
      </c>
      <c r="D8" s="12">
        <v>103.6</v>
      </c>
      <c r="E8" s="12">
        <v>101.3</v>
      </c>
      <c r="F8" s="12">
        <v>112</v>
      </c>
      <c r="G8" s="12">
        <v>77.7</v>
      </c>
      <c r="H8" s="12">
        <v>5.0999999999999996</v>
      </c>
      <c r="I8" s="12">
        <v>5.0999999999999996</v>
      </c>
      <c r="J8" s="12">
        <v>2.8</v>
      </c>
      <c r="K8" s="12">
        <v>0.6</v>
      </c>
      <c r="L8" s="12">
        <v>2.4</v>
      </c>
      <c r="M8" s="12">
        <v>0.5</v>
      </c>
      <c r="N8" s="12">
        <v>2.14</v>
      </c>
      <c r="O8" s="12">
        <v>1.5</v>
      </c>
      <c r="P8" s="13">
        <f t="shared" si="0"/>
        <v>2.6999999999999997</v>
      </c>
      <c r="Q8" s="13">
        <f t="shared" si="1"/>
        <v>-0.25999999999999979</v>
      </c>
      <c r="R8" s="13">
        <f t="shared" si="4"/>
        <v>100.05916250657613</v>
      </c>
      <c r="S8" s="5">
        <f t="shared" si="2"/>
        <v>2018</v>
      </c>
      <c r="T8" s="5" t="str">
        <f t="shared" si="3"/>
        <v>Q2</v>
      </c>
    </row>
    <row r="9" spans="1:20" ht="15.75" customHeight="1" x14ac:dyDescent="0.25">
      <c r="A9" s="8" t="s">
        <v>18</v>
      </c>
      <c r="B9" s="9">
        <v>101.8</v>
      </c>
      <c r="C9" s="9">
        <v>104.8</v>
      </c>
      <c r="D9" s="9">
        <v>104.4</v>
      </c>
      <c r="E9" s="9">
        <v>103.6</v>
      </c>
      <c r="F9" s="9">
        <v>111.7</v>
      </c>
      <c r="G9" s="9">
        <v>81</v>
      </c>
      <c r="H9" s="9">
        <v>5.9</v>
      </c>
      <c r="I9" s="9">
        <v>5.2</v>
      </c>
      <c r="J9" s="9">
        <v>1.4</v>
      </c>
      <c r="K9" s="9">
        <v>2</v>
      </c>
      <c r="L9" s="9">
        <v>2.5</v>
      </c>
      <c r="M9" s="9">
        <v>0.5</v>
      </c>
      <c r="N9" s="9">
        <v>3.31</v>
      </c>
      <c r="O9" s="9">
        <v>1.5</v>
      </c>
      <c r="P9" s="10">
        <f t="shared" si="0"/>
        <v>3.4000000000000004</v>
      </c>
      <c r="Q9" s="10">
        <f t="shared" si="1"/>
        <v>0.81</v>
      </c>
      <c r="R9" s="10">
        <f t="shared" si="4"/>
        <v>100.86964172287939</v>
      </c>
      <c r="S9" s="4">
        <f t="shared" si="2"/>
        <v>2018</v>
      </c>
      <c r="T9" s="4" t="str">
        <f t="shared" si="3"/>
        <v>Q3</v>
      </c>
    </row>
    <row r="10" spans="1:20" ht="15.75" customHeight="1" x14ac:dyDescent="0.25">
      <c r="A10" s="11" t="s">
        <v>19</v>
      </c>
      <c r="B10" s="12">
        <v>101.9</v>
      </c>
      <c r="C10" s="12">
        <v>104</v>
      </c>
      <c r="D10" s="12">
        <v>105.4</v>
      </c>
      <c r="E10" s="12">
        <v>100.3</v>
      </c>
      <c r="F10" s="12">
        <v>115.7</v>
      </c>
      <c r="G10" s="12">
        <v>82.1</v>
      </c>
      <c r="H10" s="12">
        <v>5.2</v>
      </c>
      <c r="I10" s="12">
        <v>4.2</v>
      </c>
      <c r="J10" s="12">
        <v>1.2</v>
      </c>
      <c r="K10" s="12">
        <v>-0.8</v>
      </c>
      <c r="L10" s="12">
        <v>2.7</v>
      </c>
      <c r="M10" s="12">
        <v>0.5</v>
      </c>
      <c r="N10" s="12">
        <v>3.24</v>
      </c>
      <c r="O10" s="12">
        <v>1.7</v>
      </c>
      <c r="P10" s="13">
        <f t="shared" si="0"/>
        <v>2.5</v>
      </c>
      <c r="Q10" s="13">
        <f t="shared" si="1"/>
        <v>0.54</v>
      </c>
      <c r="R10" s="13">
        <f t="shared" si="4"/>
        <v>101.41433778818295</v>
      </c>
      <c r="S10" s="5">
        <f t="shared" si="2"/>
        <v>2018</v>
      </c>
      <c r="T10" s="5" t="str">
        <f t="shared" si="3"/>
        <v>Q3</v>
      </c>
    </row>
    <row r="11" spans="1:20" ht="15.75" customHeight="1" x14ac:dyDescent="0.25">
      <c r="A11" s="8" t="s">
        <v>20</v>
      </c>
      <c r="B11" s="9">
        <v>101.7</v>
      </c>
      <c r="C11" s="9">
        <v>103.3</v>
      </c>
      <c r="D11" s="9">
        <v>105.5</v>
      </c>
      <c r="E11" s="9">
        <v>100.9</v>
      </c>
      <c r="F11" s="9">
        <v>117.6</v>
      </c>
      <c r="G11" s="9">
        <v>81.8</v>
      </c>
      <c r="H11" s="9">
        <v>4.5999999999999996</v>
      </c>
      <c r="I11" s="9">
        <v>3</v>
      </c>
      <c r="J11" s="9">
        <v>0.9</v>
      </c>
      <c r="K11" s="9">
        <v>-0.7</v>
      </c>
      <c r="L11" s="9">
        <v>2.4</v>
      </c>
      <c r="M11" s="9">
        <v>0.75</v>
      </c>
      <c r="N11" s="9">
        <v>2.82</v>
      </c>
      <c r="O11" s="9">
        <v>1.6</v>
      </c>
      <c r="P11" s="10">
        <f t="shared" si="0"/>
        <v>2.1999999999999997</v>
      </c>
      <c r="Q11" s="10">
        <f t="shared" si="1"/>
        <v>0.41999999999999993</v>
      </c>
      <c r="R11" s="10">
        <f t="shared" si="4"/>
        <v>101.84027800689331</v>
      </c>
      <c r="S11" s="4">
        <f t="shared" si="2"/>
        <v>2018</v>
      </c>
      <c r="T11" s="4" t="str">
        <f t="shared" si="3"/>
        <v>Q3</v>
      </c>
    </row>
    <row r="12" spans="1:20" ht="15.75" customHeight="1" x14ac:dyDescent="0.25">
      <c r="A12" s="11" t="s">
        <v>21</v>
      </c>
      <c r="B12" s="12">
        <v>101.1</v>
      </c>
      <c r="C12" s="12">
        <v>103.6</v>
      </c>
      <c r="D12" s="12">
        <v>104.2</v>
      </c>
      <c r="E12" s="12">
        <v>101</v>
      </c>
      <c r="F12" s="12">
        <v>116.1</v>
      </c>
      <c r="G12" s="12">
        <v>80.900000000000006</v>
      </c>
      <c r="H12" s="12">
        <v>3.7</v>
      </c>
      <c r="I12" s="12">
        <v>2.2999999999999998</v>
      </c>
      <c r="J12" s="12">
        <v>1.1000000000000001</v>
      </c>
      <c r="K12" s="12">
        <v>0.2</v>
      </c>
      <c r="L12" s="12">
        <v>2.4</v>
      </c>
      <c r="M12" s="12">
        <v>0.75</v>
      </c>
      <c r="N12" s="12">
        <v>4.24</v>
      </c>
      <c r="O12" s="12">
        <v>1.5</v>
      </c>
      <c r="P12" s="13">
        <f t="shared" si="0"/>
        <v>1.3000000000000003</v>
      </c>
      <c r="Q12" s="13">
        <f t="shared" si="1"/>
        <v>1.8400000000000003</v>
      </c>
      <c r="R12" s="13">
        <f t="shared" si="4"/>
        <v>103.71413912222015</v>
      </c>
      <c r="S12" s="5">
        <f t="shared" si="2"/>
        <v>2018</v>
      </c>
      <c r="T12" s="5" t="str">
        <f t="shared" si="3"/>
        <v>Q4</v>
      </c>
    </row>
    <row r="13" spans="1:20" ht="15.75" customHeight="1" x14ac:dyDescent="0.25">
      <c r="A13" s="8" t="s">
        <v>22</v>
      </c>
      <c r="B13" s="9">
        <v>102.5</v>
      </c>
      <c r="C13" s="9">
        <v>103.8</v>
      </c>
      <c r="D13" s="9">
        <v>105.9</v>
      </c>
      <c r="E13" s="9">
        <v>101.7</v>
      </c>
      <c r="F13" s="9">
        <v>117.4</v>
      </c>
      <c r="G13" s="9">
        <v>82.5</v>
      </c>
      <c r="H13" s="9">
        <v>4.4000000000000004</v>
      </c>
      <c r="I13" s="9">
        <v>2.4</v>
      </c>
      <c r="J13" s="9">
        <v>0</v>
      </c>
      <c r="K13" s="9">
        <v>0.9</v>
      </c>
      <c r="L13" s="9">
        <v>2.2999999999999998</v>
      </c>
      <c r="M13" s="9">
        <v>0.75</v>
      </c>
      <c r="N13" s="9">
        <v>3.15</v>
      </c>
      <c r="O13" s="9">
        <v>1.7</v>
      </c>
      <c r="P13" s="10">
        <f t="shared" si="0"/>
        <v>2.1000000000000005</v>
      </c>
      <c r="Q13" s="10">
        <f t="shared" si="1"/>
        <v>0.85000000000000009</v>
      </c>
      <c r="R13" s="10">
        <f t="shared" si="4"/>
        <v>104.59570930475901</v>
      </c>
      <c r="S13" s="4">
        <f t="shared" si="2"/>
        <v>2018</v>
      </c>
      <c r="T13" s="4" t="str">
        <f t="shared" si="3"/>
        <v>Q4</v>
      </c>
    </row>
    <row r="14" spans="1:20" ht="15.75" customHeight="1" x14ac:dyDescent="0.25">
      <c r="A14" s="11" t="s">
        <v>23</v>
      </c>
      <c r="B14" s="12">
        <v>102.6</v>
      </c>
      <c r="C14" s="12">
        <v>104.1</v>
      </c>
      <c r="D14" s="12">
        <v>106.2</v>
      </c>
      <c r="E14" s="12">
        <v>103.2</v>
      </c>
      <c r="F14" s="12">
        <v>116.4</v>
      </c>
      <c r="G14" s="12">
        <v>82.2</v>
      </c>
      <c r="H14" s="12">
        <v>3.7</v>
      </c>
      <c r="I14" s="12">
        <v>3</v>
      </c>
      <c r="J14" s="12">
        <v>0.7</v>
      </c>
      <c r="K14" s="12">
        <v>3.3</v>
      </c>
      <c r="L14" s="12">
        <v>2.1</v>
      </c>
      <c r="M14" s="12">
        <v>0.75</v>
      </c>
      <c r="N14" s="12">
        <v>3.18</v>
      </c>
      <c r="O14" s="12">
        <v>1.4</v>
      </c>
      <c r="P14" s="13">
        <f t="shared" si="0"/>
        <v>1.6</v>
      </c>
      <c r="Q14" s="13">
        <f t="shared" si="1"/>
        <v>1.08</v>
      </c>
      <c r="R14" s="13">
        <f t="shared" si="4"/>
        <v>105.72534296525041</v>
      </c>
      <c r="S14" s="5">
        <f t="shared" si="2"/>
        <v>2018</v>
      </c>
      <c r="T14" s="5" t="str">
        <f t="shared" si="3"/>
        <v>Q4</v>
      </c>
    </row>
    <row r="15" spans="1:20" ht="15.75" customHeight="1" x14ac:dyDescent="0.25">
      <c r="A15" s="8" t="s">
        <v>24</v>
      </c>
      <c r="B15" s="9">
        <v>102.7</v>
      </c>
      <c r="C15" s="9">
        <v>104.9</v>
      </c>
      <c r="D15" s="9">
        <v>104.8</v>
      </c>
      <c r="E15" s="9">
        <v>103</v>
      </c>
      <c r="F15" s="9">
        <v>110.9</v>
      </c>
      <c r="G15" s="9">
        <v>81</v>
      </c>
      <c r="H15" s="9">
        <v>4.3</v>
      </c>
      <c r="I15" s="9">
        <v>4.5</v>
      </c>
      <c r="J15" s="9">
        <v>-0.5</v>
      </c>
      <c r="K15" s="9">
        <v>3.4</v>
      </c>
      <c r="L15" s="9">
        <v>1.8</v>
      </c>
      <c r="M15" s="9">
        <v>0.75</v>
      </c>
      <c r="N15" s="9">
        <v>3.8</v>
      </c>
      <c r="O15" s="9">
        <v>1.2</v>
      </c>
      <c r="P15" s="10">
        <f t="shared" si="0"/>
        <v>2.5</v>
      </c>
      <c r="Q15" s="10">
        <f t="shared" si="1"/>
        <v>1.9999999999999998</v>
      </c>
      <c r="R15" s="10">
        <f t="shared" si="4"/>
        <v>107.83984982455542</v>
      </c>
      <c r="S15" s="4">
        <f t="shared" si="2"/>
        <v>2019</v>
      </c>
      <c r="T15" s="4" t="str">
        <f t="shared" si="3"/>
        <v>Q1</v>
      </c>
    </row>
    <row r="16" spans="1:20" ht="15.75" customHeight="1" x14ac:dyDescent="0.25">
      <c r="A16" s="11" t="s">
        <v>25</v>
      </c>
      <c r="B16" s="12">
        <v>103</v>
      </c>
      <c r="C16" s="12">
        <v>103.7</v>
      </c>
      <c r="D16" s="12">
        <v>105.3</v>
      </c>
      <c r="E16" s="12">
        <v>102.5</v>
      </c>
      <c r="F16" s="12">
        <v>110</v>
      </c>
      <c r="G16" s="12">
        <v>84.5</v>
      </c>
      <c r="H16" s="12">
        <v>4.4000000000000004</v>
      </c>
      <c r="I16" s="12">
        <v>2.6</v>
      </c>
      <c r="J16" s="12">
        <v>-0.2</v>
      </c>
      <c r="K16" s="12">
        <v>2.9</v>
      </c>
      <c r="L16" s="12">
        <v>1.9</v>
      </c>
      <c r="M16" s="12">
        <v>0.75</v>
      </c>
      <c r="N16" s="12">
        <v>3.67</v>
      </c>
      <c r="O16" s="12">
        <v>1.5</v>
      </c>
      <c r="P16" s="13">
        <f t="shared" si="0"/>
        <v>2.5000000000000004</v>
      </c>
      <c r="Q16" s="13">
        <f t="shared" si="1"/>
        <v>1.77</v>
      </c>
      <c r="R16" s="13">
        <f t="shared" si="4"/>
        <v>109.74861516645005</v>
      </c>
      <c r="S16" s="5">
        <f t="shared" si="2"/>
        <v>2019</v>
      </c>
      <c r="T16" s="5" t="str">
        <f t="shared" si="3"/>
        <v>Q1</v>
      </c>
    </row>
    <row r="17" spans="1:20" ht="15.75" customHeight="1" x14ac:dyDescent="0.25">
      <c r="A17" s="8" t="s">
        <v>26</v>
      </c>
      <c r="B17" s="9">
        <v>104.3</v>
      </c>
      <c r="C17" s="9">
        <v>104.2</v>
      </c>
      <c r="D17" s="9">
        <v>106.9</v>
      </c>
      <c r="E17" s="9">
        <v>104.2</v>
      </c>
      <c r="F17" s="9">
        <v>112.9</v>
      </c>
      <c r="G17" s="9">
        <v>87.2</v>
      </c>
      <c r="H17" s="9">
        <v>7.1</v>
      </c>
      <c r="I17" s="9">
        <v>4.0999999999999996</v>
      </c>
      <c r="J17" s="9">
        <v>-1.9</v>
      </c>
      <c r="K17" s="9">
        <v>6.4</v>
      </c>
      <c r="L17" s="9">
        <v>1.9</v>
      </c>
      <c r="M17" s="9">
        <v>0.75</v>
      </c>
      <c r="N17" s="9">
        <v>2.31</v>
      </c>
      <c r="O17" s="9">
        <v>1.9</v>
      </c>
      <c r="P17" s="10">
        <f t="shared" si="0"/>
        <v>5.1999999999999993</v>
      </c>
      <c r="Q17" s="10">
        <f t="shared" si="1"/>
        <v>0.41000000000000014</v>
      </c>
      <c r="R17" s="10">
        <f t="shared" si="4"/>
        <v>110.19858448863249</v>
      </c>
      <c r="S17" s="4">
        <f t="shared" si="2"/>
        <v>2019</v>
      </c>
      <c r="T17" s="4" t="str">
        <f t="shared" si="3"/>
        <v>Q1</v>
      </c>
    </row>
    <row r="18" spans="1:20" ht="15.75" customHeight="1" x14ac:dyDescent="0.25">
      <c r="A18" s="11" t="s">
        <v>27</v>
      </c>
      <c r="B18" s="12">
        <v>103.8</v>
      </c>
      <c r="C18" s="12">
        <v>104.7</v>
      </c>
      <c r="D18" s="12">
        <v>105.5</v>
      </c>
      <c r="E18" s="12">
        <v>105.6</v>
      </c>
      <c r="F18" s="12">
        <v>110.3</v>
      </c>
      <c r="G18" s="12">
        <v>87.4</v>
      </c>
      <c r="H18" s="12">
        <v>4.9000000000000004</v>
      </c>
      <c r="I18" s="12">
        <v>3</v>
      </c>
      <c r="J18" s="12">
        <v>-0.7</v>
      </c>
      <c r="K18" s="12">
        <v>6.6</v>
      </c>
      <c r="L18" s="12">
        <v>2.1</v>
      </c>
      <c r="M18" s="12">
        <v>0.75</v>
      </c>
      <c r="N18" s="12">
        <v>3.69</v>
      </c>
      <c r="O18" s="12">
        <v>1.8</v>
      </c>
      <c r="P18" s="13">
        <f t="shared" si="0"/>
        <v>2.8000000000000003</v>
      </c>
      <c r="Q18" s="13">
        <f t="shared" si="1"/>
        <v>1.5899999999999999</v>
      </c>
      <c r="R18" s="13">
        <f t="shared" si="4"/>
        <v>111.95074198200174</v>
      </c>
      <c r="S18" s="5">
        <f t="shared" si="2"/>
        <v>2019</v>
      </c>
      <c r="T18" s="5" t="str">
        <f t="shared" si="3"/>
        <v>Q2</v>
      </c>
    </row>
    <row r="19" spans="1:20" ht="15.75" customHeight="1" x14ac:dyDescent="0.25">
      <c r="A19" s="8" t="s">
        <v>28</v>
      </c>
      <c r="B19" s="9">
        <v>102.9</v>
      </c>
      <c r="C19" s="9">
        <v>104</v>
      </c>
      <c r="D19" s="9">
        <v>104.7</v>
      </c>
      <c r="E19" s="9">
        <v>100.8</v>
      </c>
      <c r="F19" s="9">
        <v>111</v>
      </c>
      <c r="G19" s="9">
        <v>87.1</v>
      </c>
      <c r="H19" s="9">
        <v>2.2999999999999998</v>
      </c>
      <c r="I19" s="9">
        <v>0.9</v>
      </c>
      <c r="J19" s="9">
        <v>-3.5</v>
      </c>
      <c r="K19" s="9">
        <v>-1</v>
      </c>
      <c r="L19" s="9">
        <v>2</v>
      </c>
      <c r="M19" s="9">
        <v>0.75</v>
      </c>
      <c r="N19" s="9">
        <v>4.09</v>
      </c>
      <c r="O19" s="9">
        <v>1.8</v>
      </c>
      <c r="P19" s="10">
        <f t="shared" si="0"/>
        <v>0.29999999999999982</v>
      </c>
      <c r="Q19" s="10">
        <f t="shared" si="1"/>
        <v>2.09</v>
      </c>
      <c r="R19" s="10">
        <f t="shared" si="4"/>
        <v>114.29051248942557</v>
      </c>
      <c r="S19" s="4">
        <f t="shared" si="2"/>
        <v>2019</v>
      </c>
      <c r="T19" s="4" t="str">
        <f t="shared" si="3"/>
        <v>Q2</v>
      </c>
    </row>
    <row r="20" spans="1:20" ht="15.75" customHeight="1" x14ac:dyDescent="0.25">
      <c r="A20" s="11" t="s">
        <v>29</v>
      </c>
      <c r="B20" s="12">
        <v>104.2</v>
      </c>
      <c r="C20" s="12">
        <v>103.8</v>
      </c>
      <c r="D20" s="12">
        <v>107.4</v>
      </c>
      <c r="E20" s="12">
        <v>104.6</v>
      </c>
      <c r="F20" s="12">
        <v>112.2</v>
      </c>
      <c r="G20" s="12">
        <v>88.2</v>
      </c>
      <c r="H20" s="12">
        <v>4.0999999999999996</v>
      </c>
      <c r="I20" s="12">
        <v>1.5</v>
      </c>
      <c r="J20" s="12">
        <v>-3.1</v>
      </c>
      <c r="K20" s="12">
        <v>3.3</v>
      </c>
      <c r="L20" s="12">
        <v>2</v>
      </c>
      <c r="M20" s="12">
        <v>0.75</v>
      </c>
      <c r="N20" s="12">
        <v>3.98</v>
      </c>
      <c r="O20" s="12">
        <v>1.5</v>
      </c>
      <c r="P20" s="13">
        <f t="shared" si="0"/>
        <v>2.0999999999999996</v>
      </c>
      <c r="Q20" s="13">
        <f t="shared" si="1"/>
        <v>1.98</v>
      </c>
      <c r="R20" s="13">
        <f t="shared" si="4"/>
        <v>116.5534646367162</v>
      </c>
      <c r="S20" s="5">
        <f t="shared" si="2"/>
        <v>2019</v>
      </c>
      <c r="T20" s="5" t="str">
        <f t="shared" si="3"/>
        <v>Q2</v>
      </c>
    </row>
    <row r="21" spans="1:20" ht="15.75" customHeight="1" x14ac:dyDescent="0.25">
      <c r="A21" s="8" t="s">
        <v>30</v>
      </c>
      <c r="B21" s="9">
        <v>105.3</v>
      </c>
      <c r="C21" s="9">
        <v>104.7</v>
      </c>
      <c r="D21" s="9">
        <v>106.1</v>
      </c>
      <c r="E21" s="9">
        <v>104.9</v>
      </c>
      <c r="F21" s="9">
        <v>108.2</v>
      </c>
      <c r="G21" s="9">
        <v>97.6</v>
      </c>
      <c r="H21" s="9">
        <v>4.4000000000000004</v>
      </c>
      <c r="I21" s="9">
        <v>1.6</v>
      </c>
      <c r="J21" s="9">
        <v>-1</v>
      </c>
      <c r="K21" s="9">
        <v>1.9</v>
      </c>
      <c r="L21" s="9">
        <v>2.1</v>
      </c>
      <c r="M21" s="9">
        <v>0.75</v>
      </c>
      <c r="N21" s="9">
        <v>4.03</v>
      </c>
      <c r="O21" s="9">
        <v>1</v>
      </c>
      <c r="P21" s="10">
        <f t="shared" si="0"/>
        <v>2.3000000000000003</v>
      </c>
      <c r="Q21" s="10">
        <f t="shared" si="1"/>
        <v>1.9300000000000002</v>
      </c>
      <c r="R21" s="10">
        <f t="shared" si="4"/>
        <v>118.80294650420484</v>
      </c>
      <c r="S21" s="4">
        <f t="shared" si="2"/>
        <v>2019</v>
      </c>
      <c r="T21" s="4" t="str">
        <f t="shared" si="3"/>
        <v>Q3</v>
      </c>
    </row>
    <row r="22" spans="1:20" ht="15.75" customHeight="1" x14ac:dyDescent="0.25">
      <c r="A22" s="11" t="s">
        <v>31</v>
      </c>
      <c r="B22" s="12">
        <v>104.4</v>
      </c>
      <c r="C22" s="12">
        <v>104.6</v>
      </c>
      <c r="D22" s="12">
        <v>105.6</v>
      </c>
      <c r="E22" s="12">
        <v>103.6</v>
      </c>
      <c r="F22" s="12">
        <v>109.6</v>
      </c>
      <c r="G22" s="12">
        <v>93.6</v>
      </c>
      <c r="H22" s="12">
        <v>3.1</v>
      </c>
      <c r="I22" s="12">
        <v>2.4</v>
      </c>
      <c r="J22" s="12">
        <v>-2.5</v>
      </c>
      <c r="K22" s="12">
        <v>2.9</v>
      </c>
      <c r="L22" s="12">
        <v>1.7</v>
      </c>
      <c r="M22" s="12">
        <v>0.75</v>
      </c>
      <c r="N22" s="12">
        <v>3.38</v>
      </c>
      <c r="O22" s="12">
        <v>0.5</v>
      </c>
      <c r="P22" s="13">
        <f t="shared" si="0"/>
        <v>1.4000000000000001</v>
      </c>
      <c r="Q22" s="13">
        <f t="shared" si="1"/>
        <v>1.68</v>
      </c>
      <c r="R22" s="13">
        <f t="shared" si="4"/>
        <v>120.79883600547548</v>
      </c>
      <c r="S22" s="5">
        <f t="shared" si="2"/>
        <v>2019</v>
      </c>
      <c r="T22" s="5" t="str">
        <f t="shared" si="3"/>
        <v>Q3</v>
      </c>
    </row>
    <row r="23" spans="1:20" ht="15.75" customHeight="1" x14ac:dyDescent="0.25">
      <c r="A23" s="8" t="s">
        <v>32</v>
      </c>
      <c r="B23" s="9">
        <v>104.4</v>
      </c>
      <c r="C23" s="9">
        <v>105.4</v>
      </c>
      <c r="D23" s="9">
        <v>105.5</v>
      </c>
      <c r="E23" s="9">
        <v>103.5</v>
      </c>
      <c r="F23" s="9">
        <v>113</v>
      </c>
      <c r="G23" s="9">
        <v>92.9</v>
      </c>
      <c r="H23" s="9">
        <v>3.2</v>
      </c>
      <c r="I23" s="9">
        <v>3.7</v>
      </c>
      <c r="J23" s="9">
        <v>-3.6</v>
      </c>
      <c r="K23" s="9">
        <v>2.2000000000000002</v>
      </c>
      <c r="L23" s="9">
        <v>1.7</v>
      </c>
      <c r="M23" s="9">
        <v>0.75</v>
      </c>
      <c r="N23" s="9">
        <v>3.96</v>
      </c>
      <c r="O23" s="9">
        <v>0.4</v>
      </c>
      <c r="P23" s="10">
        <f t="shared" si="0"/>
        <v>1.5000000000000002</v>
      </c>
      <c r="Q23" s="10">
        <f t="shared" si="1"/>
        <v>2.2599999999999998</v>
      </c>
      <c r="R23" s="10">
        <f t="shared" si="4"/>
        <v>123.52888969919923</v>
      </c>
      <c r="S23" s="4">
        <f t="shared" si="2"/>
        <v>2019</v>
      </c>
      <c r="T23" s="4" t="str">
        <f t="shared" si="3"/>
        <v>Q3</v>
      </c>
    </row>
    <row r="24" spans="1:20" ht="15.75" customHeight="1" x14ac:dyDescent="0.25">
      <c r="A24" s="11" t="s">
        <v>33</v>
      </c>
      <c r="B24" s="12">
        <v>103.9</v>
      </c>
      <c r="C24" s="12">
        <v>105.5</v>
      </c>
      <c r="D24" s="12">
        <v>104.2</v>
      </c>
      <c r="E24" s="12">
        <v>102.4</v>
      </c>
      <c r="F24" s="12">
        <v>111.3</v>
      </c>
      <c r="G24" s="12">
        <v>91.4</v>
      </c>
      <c r="H24" s="12">
        <v>3.1</v>
      </c>
      <c r="I24" s="12">
        <v>3.4</v>
      </c>
      <c r="J24" s="12">
        <v>-0.8</v>
      </c>
      <c r="K24" s="12">
        <v>1.7</v>
      </c>
      <c r="L24" s="12">
        <v>1.5</v>
      </c>
      <c r="M24" s="12">
        <v>0.75</v>
      </c>
      <c r="N24" s="12">
        <v>2.41</v>
      </c>
      <c r="O24" s="12">
        <v>0.9</v>
      </c>
      <c r="P24" s="13">
        <f t="shared" si="0"/>
        <v>1.6</v>
      </c>
      <c r="Q24" s="13">
        <f t="shared" si="1"/>
        <v>0.91000000000000014</v>
      </c>
      <c r="R24" s="13">
        <f t="shared" si="4"/>
        <v>124.65300259546196</v>
      </c>
      <c r="S24" s="5">
        <f t="shared" si="2"/>
        <v>2019</v>
      </c>
      <c r="T24" s="5" t="str">
        <f t="shared" si="3"/>
        <v>Q4</v>
      </c>
    </row>
    <row r="25" spans="1:20" ht="15.75" customHeight="1" x14ac:dyDescent="0.25">
      <c r="A25" s="8" t="s">
        <v>34</v>
      </c>
      <c r="B25" s="9">
        <v>103.4</v>
      </c>
      <c r="C25" s="9">
        <v>104.4</v>
      </c>
      <c r="D25" s="9">
        <v>104.1</v>
      </c>
      <c r="E25" s="9">
        <v>99.5</v>
      </c>
      <c r="F25" s="9">
        <v>110.6</v>
      </c>
      <c r="G25" s="9">
        <v>91.1</v>
      </c>
      <c r="H25" s="9">
        <v>1.4</v>
      </c>
      <c r="I25" s="9">
        <v>2.4</v>
      </c>
      <c r="J25" s="9">
        <v>2.2000000000000002</v>
      </c>
      <c r="K25" s="9">
        <v>-1.9</v>
      </c>
      <c r="L25" s="9">
        <v>1.5</v>
      </c>
      <c r="M25" s="9">
        <v>0.75</v>
      </c>
      <c r="N25" s="9">
        <v>3.23</v>
      </c>
      <c r="O25" s="9">
        <v>1.1000000000000001</v>
      </c>
      <c r="P25" s="10">
        <f t="shared" si="0"/>
        <v>-0.10000000000000009</v>
      </c>
      <c r="Q25" s="10">
        <f t="shared" si="1"/>
        <v>1.73</v>
      </c>
      <c r="R25" s="10">
        <f t="shared" si="4"/>
        <v>126.80949954036346</v>
      </c>
      <c r="S25" s="4">
        <f t="shared" si="2"/>
        <v>2019</v>
      </c>
      <c r="T25" s="4" t="str">
        <f t="shared" si="3"/>
        <v>Q4</v>
      </c>
    </row>
    <row r="26" spans="1:20" ht="15.75" customHeight="1" x14ac:dyDescent="0.25">
      <c r="A26" s="11" t="s">
        <v>35</v>
      </c>
      <c r="B26" s="12">
        <v>104.4</v>
      </c>
      <c r="C26" s="12">
        <v>105.7</v>
      </c>
      <c r="D26" s="12">
        <v>104.8</v>
      </c>
      <c r="E26" s="12">
        <v>101.6</v>
      </c>
      <c r="F26" s="12">
        <v>111.7</v>
      </c>
      <c r="G26" s="12">
        <v>91.9</v>
      </c>
      <c r="H26" s="12">
        <v>2.7</v>
      </c>
      <c r="I26" s="12">
        <v>3.5</v>
      </c>
      <c r="J26" s="12">
        <v>-3</v>
      </c>
      <c r="K26" s="12">
        <v>-1.6</v>
      </c>
      <c r="L26" s="12">
        <v>1.3</v>
      </c>
      <c r="M26" s="12">
        <v>0.75</v>
      </c>
      <c r="N26" s="12">
        <v>2.57</v>
      </c>
      <c r="O26" s="12">
        <v>1.1000000000000001</v>
      </c>
      <c r="P26" s="13">
        <f t="shared" si="0"/>
        <v>1.4000000000000001</v>
      </c>
      <c r="Q26" s="13">
        <f t="shared" si="1"/>
        <v>1.2699999999999998</v>
      </c>
      <c r="R26" s="13">
        <f t="shared" si="4"/>
        <v>128.41998018452608</v>
      </c>
      <c r="S26" s="5">
        <f t="shared" si="2"/>
        <v>2019</v>
      </c>
      <c r="T26" s="5" t="str">
        <f t="shared" si="3"/>
        <v>Q4</v>
      </c>
    </row>
    <row r="27" spans="1:20" ht="15.75" customHeight="1" x14ac:dyDescent="0.25">
      <c r="A27" s="8" t="s">
        <v>36</v>
      </c>
      <c r="B27" s="9">
        <v>104.3</v>
      </c>
      <c r="C27" s="9">
        <v>105.4</v>
      </c>
      <c r="D27" s="9">
        <v>106</v>
      </c>
      <c r="E27" s="9">
        <v>103.9</v>
      </c>
      <c r="F27" s="9">
        <v>110.5</v>
      </c>
      <c r="G27" s="9">
        <v>90.4</v>
      </c>
      <c r="H27" s="9">
        <v>3</v>
      </c>
      <c r="I27" s="9">
        <v>2.2999999999999998</v>
      </c>
      <c r="J27" s="9">
        <v>-1.2</v>
      </c>
      <c r="K27" s="9">
        <v>1.3</v>
      </c>
      <c r="L27" s="9">
        <v>1.8</v>
      </c>
      <c r="M27" s="9">
        <v>0.75</v>
      </c>
      <c r="N27" s="9">
        <v>3.11</v>
      </c>
      <c r="O27" s="9">
        <v>0.6</v>
      </c>
      <c r="P27" s="10">
        <f t="shared" si="0"/>
        <v>1.2</v>
      </c>
      <c r="Q27" s="10">
        <f t="shared" si="1"/>
        <v>1.3099999999999998</v>
      </c>
      <c r="R27" s="10">
        <f t="shared" si="4"/>
        <v>130.10228192494336</v>
      </c>
      <c r="S27" s="4">
        <f t="shared" si="2"/>
        <v>2020</v>
      </c>
      <c r="T27" s="4" t="str">
        <f t="shared" si="3"/>
        <v>Q1</v>
      </c>
    </row>
    <row r="28" spans="1:20" ht="15.75" customHeight="1" x14ac:dyDescent="0.25">
      <c r="A28" s="11" t="s">
        <v>37</v>
      </c>
      <c r="B28" s="12">
        <v>103.8</v>
      </c>
      <c r="C28" s="12">
        <v>104.9</v>
      </c>
      <c r="D28" s="12">
        <v>105.1</v>
      </c>
      <c r="E28" s="12">
        <v>101.8</v>
      </c>
      <c r="F28" s="12">
        <v>111.4</v>
      </c>
      <c r="G28" s="12">
        <v>90.2</v>
      </c>
      <c r="H28" s="12">
        <v>1.4</v>
      </c>
      <c r="I28" s="12">
        <v>2.6</v>
      </c>
      <c r="J28" s="12">
        <v>-2.6</v>
      </c>
      <c r="K28" s="12">
        <v>-0.7</v>
      </c>
      <c r="L28" s="12">
        <v>1.7</v>
      </c>
      <c r="M28" s="12">
        <v>0.75</v>
      </c>
      <c r="N28" s="12">
        <v>2.84</v>
      </c>
      <c r="O28" s="12">
        <v>0.3</v>
      </c>
      <c r="P28" s="13">
        <f t="shared" si="0"/>
        <v>-0.30000000000000004</v>
      </c>
      <c r="Q28" s="13">
        <f t="shared" si="1"/>
        <v>1.1399999999999999</v>
      </c>
      <c r="R28" s="13">
        <f t="shared" si="4"/>
        <v>131.58544793888771</v>
      </c>
      <c r="S28" s="5">
        <f t="shared" si="2"/>
        <v>2020</v>
      </c>
      <c r="T28" s="5" t="str">
        <f t="shared" si="3"/>
        <v>Q1</v>
      </c>
    </row>
    <row r="29" spans="1:20" ht="15.75" customHeight="1" x14ac:dyDescent="0.25">
      <c r="A29" s="8" t="s">
        <v>38</v>
      </c>
      <c r="B29" s="9">
        <v>97.4</v>
      </c>
      <c r="C29" s="9">
        <v>113.4</v>
      </c>
      <c r="D29" s="9">
        <v>84.2</v>
      </c>
      <c r="E29" s="9">
        <v>65.599999999999994</v>
      </c>
      <c r="F29" s="9">
        <v>101.2</v>
      </c>
      <c r="G29" s="9">
        <v>93.6</v>
      </c>
      <c r="H29" s="9">
        <v>-6.6</v>
      </c>
      <c r="I29" s="9">
        <v>10.1</v>
      </c>
      <c r="J29" s="9">
        <v>-0.8</v>
      </c>
      <c r="K29" s="9">
        <v>-37.9</v>
      </c>
      <c r="L29" s="9">
        <v>1.5</v>
      </c>
      <c r="M29" s="9">
        <v>0.75</v>
      </c>
      <c r="N29" s="9">
        <v>0.73</v>
      </c>
      <c r="O29" s="9">
        <v>-6.2</v>
      </c>
      <c r="P29" s="10">
        <f t="shared" si="0"/>
        <v>-8.1</v>
      </c>
      <c r="Q29" s="10">
        <f t="shared" si="1"/>
        <v>-0.77</v>
      </c>
      <c r="R29" s="10">
        <f t="shared" si="4"/>
        <v>130.57223998975826</v>
      </c>
      <c r="S29" s="4">
        <f t="shared" si="2"/>
        <v>2020</v>
      </c>
      <c r="T29" s="4" t="str">
        <f t="shared" si="3"/>
        <v>Q1</v>
      </c>
    </row>
    <row r="30" spans="1:20" ht="15.75" customHeight="1" x14ac:dyDescent="0.25">
      <c r="A30" s="11" t="s">
        <v>39</v>
      </c>
      <c r="B30" s="12">
        <v>79.900000000000006</v>
      </c>
      <c r="C30" s="12">
        <v>109.7</v>
      </c>
      <c r="D30" s="12">
        <v>49</v>
      </c>
      <c r="E30" s="12">
        <v>32.299999999999997</v>
      </c>
      <c r="F30" s="12">
        <v>54.3</v>
      </c>
      <c r="G30" s="12">
        <v>112</v>
      </c>
      <c r="H30" s="12">
        <v>-24</v>
      </c>
      <c r="I30" s="12">
        <v>5.8</v>
      </c>
      <c r="J30" s="12">
        <v>-24.7</v>
      </c>
      <c r="K30" s="12">
        <v>-70.3</v>
      </c>
      <c r="L30" s="12">
        <v>0.8</v>
      </c>
      <c r="M30" s="12">
        <v>0.1</v>
      </c>
      <c r="N30" s="12">
        <v>-0.94</v>
      </c>
      <c r="O30" s="12">
        <v>-24.5</v>
      </c>
      <c r="P30" s="13">
        <f t="shared" si="0"/>
        <v>-24.8</v>
      </c>
      <c r="Q30" s="13">
        <f t="shared" si="1"/>
        <v>-1.74</v>
      </c>
      <c r="R30" s="13">
        <f t="shared" si="4"/>
        <v>128.30028301393648</v>
      </c>
      <c r="S30" s="5">
        <f t="shared" si="2"/>
        <v>2020</v>
      </c>
      <c r="T30" s="5" t="str">
        <f t="shared" si="3"/>
        <v>Q2</v>
      </c>
    </row>
    <row r="31" spans="1:20" ht="15.75" customHeight="1" x14ac:dyDescent="0.25">
      <c r="A31" s="8" t="s">
        <v>40</v>
      </c>
      <c r="B31" s="9">
        <v>90.8</v>
      </c>
      <c r="C31" s="9">
        <v>111.6</v>
      </c>
      <c r="D31" s="9">
        <v>61.5</v>
      </c>
      <c r="E31" s="9">
        <v>38.700000000000003</v>
      </c>
      <c r="F31" s="9">
        <v>77.7</v>
      </c>
      <c r="G31" s="9">
        <v>137.4</v>
      </c>
      <c r="H31" s="9">
        <v>-13.5</v>
      </c>
      <c r="I31" s="9">
        <v>8.4</v>
      </c>
      <c r="J31" s="9">
        <v>-13.8</v>
      </c>
      <c r="K31" s="9">
        <v>-62.7</v>
      </c>
      <c r="L31" s="9">
        <v>0.5</v>
      </c>
      <c r="M31" s="9">
        <v>0.1</v>
      </c>
      <c r="N31" s="9">
        <v>-1</v>
      </c>
      <c r="O31" s="9">
        <v>-20.8</v>
      </c>
      <c r="P31" s="10">
        <f t="shared" si="0"/>
        <v>-14</v>
      </c>
      <c r="Q31" s="10">
        <f t="shared" si="1"/>
        <v>-1.5</v>
      </c>
      <c r="R31" s="10">
        <f t="shared" si="4"/>
        <v>126.37577876872743</v>
      </c>
      <c r="S31" s="4">
        <f t="shared" si="2"/>
        <v>2020</v>
      </c>
      <c r="T31" s="4" t="str">
        <f t="shared" si="3"/>
        <v>Q2</v>
      </c>
    </row>
    <row r="32" spans="1:20" ht="15.75" customHeight="1" x14ac:dyDescent="0.25">
      <c r="A32" s="11" t="s">
        <v>41</v>
      </c>
      <c r="B32" s="12">
        <v>102.1</v>
      </c>
      <c r="C32" s="12">
        <v>110.6</v>
      </c>
      <c r="D32" s="12">
        <v>88.6</v>
      </c>
      <c r="E32" s="12">
        <v>67.900000000000006</v>
      </c>
      <c r="F32" s="12">
        <v>110.9</v>
      </c>
      <c r="G32" s="12">
        <v>137.4</v>
      </c>
      <c r="H32" s="12">
        <v>-3.8</v>
      </c>
      <c r="I32" s="12">
        <v>7</v>
      </c>
      <c r="J32" s="12">
        <v>-7.2</v>
      </c>
      <c r="K32" s="12">
        <v>-36.4</v>
      </c>
      <c r="L32" s="12">
        <v>0.6</v>
      </c>
      <c r="M32" s="12">
        <v>0.1</v>
      </c>
      <c r="N32" s="12">
        <v>-1.49</v>
      </c>
      <c r="O32" s="12">
        <v>-17.2</v>
      </c>
      <c r="P32" s="13">
        <f t="shared" si="0"/>
        <v>-4.3999999999999995</v>
      </c>
      <c r="Q32" s="13">
        <f t="shared" si="1"/>
        <v>-2.09</v>
      </c>
      <c r="R32" s="13">
        <f t="shared" si="4"/>
        <v>123.73452499246102</v>
      </c>
      <c r="S32" s="5">
        <f t="shared" si="2"/>
        <v>2020</v>
      </c>
      <c r="T32" s="5" t="str">
        <f t="shared" si="3"/>
        <v>Q2</v>
      </c>
    </row>
    <row r="33" spans="1:20" ht="15.75" customHeight="1" x14ac:dyDescent="0.25">
      <c r="A33" s="8" t="s">
        <v>42</v>
      </c>
      <c r="B33" s="9">
        <v>107.1</v>
      </c>
      <c r="C33" s="9">
        <v>108.2</v>
      </c>
      <c r="D33" s="9">
        <v>100.7</v>
      </c>
      <c r="E33" s="9">
        <v>79.8</v>
      </c>
      <c r="F33" s="9">
        <v>121.1</v>
      </c>
      <c r="G33" s="9">
        <v>131.80000000000001</v>
      </c>
      <c r="H33" s="9">
        <v>0.4</v>
      </c>
      <c r="I33" s="9">
        <v>3.6</v>
      </c>
      <c r="J33" s="9">
        <v>-6.4</v>
      </c>
      <c r="K33" s="9">
        <v>-24.2</v>
      </c>
      <c r="L33" s="9">
        <v>1</v>
      </c>
      <c r="M33" s="9">
        <v>0.1</v>
      </c>
      <c r="N33" s="9">
        <v>-0.12</v>
      </c>
      <c r="O33" s="9">
        <v>-7</v>
      </c>
      <c r="P33" s="10">
        <f t="shared" si="0"/>
        <v>-0.6</v>
      </c>
      <c r="Q33" s="10">
        <f t="shared" si="1"/>
        <v>-1.1200000000000001</v>
      </c>
      <c r="R33" s="10">
        <f t="shared" si="4"/>
        <v>122.34869831254545</v>
      </c>
      <c r="S33" s="4">
        <f t="shared" si="2"/>
        <v>2020</v>
      </c>
      <c r="T33" s="4" t="str">
        <f t="shared" si="3"/>
        <v>Q3</v>
      </c>
    </row>
    <row r="34" spans="1:20" ht="15.75" customHeight="1" x14ac:dyDescent="0.25">
      <c r="A34" s="11" t="s">
        <v>43</v>
      </c>
      <c r="B34" s="12">
        <v>108.5</v>
      </c>
      <c r="C34" s="12">
        <v>110.1</v>
      </c>
      <c r="D34" s="12">
        <v>102.8</v>
      </c>
      <c r="E34" s="12">
        <v>88.4</v>
      </c>
      <c r="F34" s="12">
        <v>123.5</v>
      </c>
      <c r="G34" s="12">
        <v>127.7</v>
      </c>
      <c r="H34" s="12">
        <v>2.2000000000000002</v>
      </c>
      <c r="I34" s="12">
        <v>5.0999999999999996</v>
      </c>
      <c r="J34" s="12">
        <v>-4.3</v>
      </c>
      <c r="K34" s="12">
        <v>-15.9</v>
      </c>
      <c r="L34" s="12">
        <v>0.2</v>
      </c>
      <c r="M34" s="12">
        <v>0.1</v>
      </c>
      <c r="N34" s="12">
        <v>2.04</v>
      </c>
      <c r="O34" s="12">
        <v>-6</v>
      </c>
      <c r="P34" s="13">
        <f t="shared" si="0"/>
        <v>2</v>
      </c>
      <c r="Q34" s="13">
        <f t="shared" si="1"/>
        <v>1.84</v>
      </c>
      <c r="R34" s="13">
        <f t="shared" si="4"/>
        <v>124.59991436149629</v>
      </c>
      <c r="S34" s="5">
        <f t="shared" si="2"/>
        <v>2020</v>
      </c>
      <c r="T34" s="5" t="str">
        <f t="shared" si="3"/>
        <v>Q3</v>
      </c>
    </row>
    <row r="35" spans="1:20" ht="15.75" customHeight="1" x14ac:dyDescent="0.25">
      <c r="A35" s="8" t="s">
        <v>44</v>
      </c>
      <c r="B35" s="9">
        <v>110.2</v>
      </c>
      <c r="C35" s="9">
        <v>111</v>
      </c>
      <c r="D35" s="9">
        <v>106.8</v>
      </c>
      <c r="E35" s="9">
        <v>89.9</v>
      </c>
      <c r="F35" s="9">
        <v>127.1</v>
      </c>
      <c r="G35" s="9">
        <v>126</v>
      </c>
      <c r="H35" s="9">
        <v>3.8</v>
      </c>
      <c r="I35" s="9">
        <v>5</v>
      </c>
      <c r="J35" s="9">
        <v>-0.5</v>
      </c>
      <c r="K35" s="9">
        <v>-14.1</v>
      </c>
      <c r="L35" s="9">
        <v>0.5</v>
      </c>
      <c r="M35" s="9">
        <v>0.1</v>
      </c>
      <c r="N35" s="9">
        <v>2.58</v>
      </c>
      <c r="O35" s="9">
        <v>-8.5</v>
      </c>
      <c r="P35" s="10">
        <f t="shared" si="0"/>
        <v>3.3</v>
      </c>
      <c r="Q35" s="10">
        <f t="shared" si="1"/>
        <v>2.08</v>
      </c>
      <c r="R35" s="10">
        <f t="shared" si="4"/>
        <v>127.1915925802154</v>
      </c>
      <c r="S35" s="4">
        <f t="shared" si="2"/>
        <v>2020</v>
      </c>
      <c r="T35" s="4" t="str">
        <f t="shared" si="3"/>
        <v>Q3</v>
      </c>
    </row>
    <row r="36" spans="1:20" ht="15.75" customHeight="1" x14ac:dyDescent="0.25">
      <c r="A36" s="11" t="s">
        <v>45</v>
      </c>
      <c r="B36" s="12">
        <v>111.3</v>
      </c>
      <c r="C36" s="12">
        <v>109.6</v>
      </c>
      <c r="D36" s="12">
        <v>107.9</v>
      </c>
      <c r="E36" s="12">
        <v>88.6</v>
      </c>
      <c r="F36" s="12">
        <v>132.69999999999999</v>
      </c>
      <c r="G36" s="12">
        <v>134.19999999999999</v>
      </c>
      <c r="H36" s="12">
        <v>5.7</v>
      </c>
      <c r="I36" s="12">
        <v>3.9</v>
      </c>
      <c r="J36" s="12">
        <v>0.5</v>
      </c>
      <c r="K36" s="12">
        <v>-13.6</v>
      </c>
      <c r="L36" s="12">
        <v>0.7</v>
      </c>
      <c r="M36" s="12">
        <v>0.1</v>
      </c>
      <c r="N36" s="12">
        <v>3.73</v>
      </c>
      <c r="O36" s="12">
        <v>-7.5</v>
      </c>
      <c r="P36" s="13">
        <f t="shared" si="0"/>
        <v>5</v>
      </c>
      <c r="Q36" s="13">
        <f t="shared" si="1"/>
        <v>3.0300000000000002</v>
      </c>
      <c r="R36" s="13">
        <f t="shared" si="4"/>
        <v>131.04549783539593</v>
      </c>
      <c r="S36" s="5">
        <f t="shared" si="2"/>
        <v>2020</v>
      </c>
      <c r="T36" s="5" t="str">
        <f t="shared" si="3"/>
        <v>Q4</v>
      </c>
    </row>
    <row r="37" spans="1:20" ht="15.75" customHeight="1" x14ac:dyDescent="0.25">
      <c r="A37" s="8" t="s">
        <v>46</v>
      </c>
      <c r="B37" s="9">
        <v>106.1</v>
      </c>
      <c r="C37" s="9">
        <v>111.7</v>
      </c>
      <c r="D37" s="9">
        <v>96.5</v>
      </c>
      <c r="E37" s="9">
        <v>69.2</v>
      </c>
      <c r="F37" s="9">
        <v>126.3</v>
      </c>
      <c r="G37" s="9">
        <v>133.19999999999999</v>
      </c>
      <c r="H37" s="9">
        <v>0.6</v>
      </c>
      <c r="I37" s="9">
        <v>6.5</v>
      </c>
      <c r="J37" s="9">
        <v>-2.6</v>
      </c>
      <c r="K37" s="9">
        <v>-32.299999999999997</v>
      </c>
      <c r="L37" s="9">
        <v>0.3</v>
      </c>
      <c r="M37" s="9">
        <v>0.1</v>
      </c>
      <c r="N37" s="9">
        <v>4.74</v>
      </c>
      <c r="O37" s="9">
        <v>-8.9</v>
      </c>
      <c r="P37" s="10">
        <f t="shared" si="0"/>
        <v>0.3</v>
      </c>
      <c r="Q37" s="10">
        <f t="shared" si="1"/>
        <v>4.4400000000000004</v>
      </c>
      <c r="R37" s="10">
        <f t="shared" si="4"/>
        <v>136.86391793928752</v>
      </c>
      <c r="S37" s="4">
        <f t="shared" si="2"/>
        <v>2020</v>
      </c>
      <c r="T37" s="4" t="str">
        <f t="shared" si="3"/>
        <v>Q4</v>
      </c>
    </row>
    <row r="38" spans="1:20" ht="15.75" customHeight="1" x14ac:dyDescent="0.25">
      <c r="A38" s="11" t="s">
        <v>47</v>
      </c>
      <c r="B38" s="12">
        <v>107.2</v>
      </c>
      <c r="C38" s="12">
        <v>107.4</v>
      </c>
      <c r="D38" s="12">
        <v>105.4</v>
      </c>
      <c r="E38" s="12">
        <v>90.1</v>
      </c>
      <c r="F38" s="12">
        <v>126.6</v>
      </c>
      <c r="G38" s="12">
        <v>123.8</v>
      </c>
      <c r="H38" s="12">
        <v>1.2</v>
      </c>
      <c r="I38" s="12">
        <v>0.8</v>
      </c>
      <c r="J38" s="12">
        <v>-4.5999999999999996</v>
      </c>
      <c r="K38" s="12">
        <v>-12.3</v>
      </c>
      <c r="L38" s="12">
        <v>0.6</v>
      </c>
      <c r="M38" s="12">
        <v>0.1</v>
      </c>
      <c r="N38" s="12">
        <v>5.29</v>
      </c>
      <c r="O38" s="12">
        <v>-6.3</v>
      </c>
      <c r="P38" s="13">
        <f t="shared" si="0"/>
        <v>0.6</v>
      </c>
      <c r="Q38" s="13">
        <f t="shared" si="1"/>
        <v>4.6900000000000004</v>
      </c>
      <c r="R38" s="13">
        <f t="shared" si="4"/>
        <v>143.2828356906401</v>
      </c>
      <c r="S38" s="5">
        <f t="shared" si="2"/>
        <v>2020</v>
      </c>
      <c r="T38" s="5" t="str">
        <f t="shared" si="3"/>
        <v>Q4</v>
      </c>
    </row>
    <row r="39" spans="1:20" ht="15.75" customHeight="1" x14ac:dyDescent="0.25">
      <c r="A39" s="8" t="s">
        <v>48</v>
      </c>
      <c r="B39" s="9">
        <v>99</v>
      </c>
      <c r="C39" s="9">
        <v>111</v>
      </c>
      <c r="D39" s="9">
        <v>78.7</v>
      </c>
      <c r="E39" s="9">
        <v>55.9</v>
      </c>
      <c r="F39" s="9">
        <v>98.8</v>
      </c>
      <c r="G39" s="9">
        <v>136</v>
      </c>
      <c r="H39" s="9">
        <v>-6.1</v>
      </c>
      <c r="I39" s="9">
        <v>5</v>
      </c>
      <c r="J39" s="9">
        <v>-16.600000000000001</v>
      </c>
      <c r="K39" s="9">
        <v>-47.4</v>
      </c>
      <c r="L39" s="9">
        <v>0.7</v>
      </c>
      <c r="M39" s="9">
        <v>0.1</v>
      </c>
      <c r="N39" s="9">
        <v>4.37</v>
      </c>
      <c r="O39" s="9">
        <v>-7.5</v>
      </c>
      <c r="P39" s="10">
        <f t="shared" si="0"/>
        <v>-6.8</v>
      </c>
      <c r="Q39" s="10">
        <f t="shared" si="1"/>
        <v>3.67</v>
      </c>
      <c r="R39" s="10">
        <f t="shared" si="4"/>
        <v>148.54131576048658</v>
      </c>
      <c r="S39" s="4">
        <f t="shared" si="2"/>
        <v>2021</v>
      </c>
      <c r="T39" s="4" t="str">
        <f t="shared" si="3"/>
        <v>Q1</v>
      </c>
    </row>
    <row r="40" spans="1:20" ht="15.75" customHeight="1" x14ac:dyDescent="0.25">
      <c r="A40" s="11" t="s">
        <v>49</v>
      </c>
      <c r="B40" s="12">
        <v>99.9</v>
      </c>
      <c r="C40" s="12">
        <v>112.2</v>
      </c>
      <c r="D40" s="12">
        <v>81.400000000000006</v>
      </c>
      <c r="E40" s="12">
        <v>52.9</v>
      </c>
      <c r="F40" s="12">
        <v>112.7</v>
      </c>
      <c r="G40" s="12">
        <v>132.19999999999999</v>
      </c>
      <c r="H40" s="12">
        <v>-4.3</v>
      </c>
      <c r="I40" s="12">
        <v>6.7</v>
      </c>
      <c r="J40" s="12">
        <v>-4.0999999999999996</v>
      </c>
      <c r="K40" s="12">
        <v>-50</v>
      </c>
      <c r="L40" s="12">
        <v>0.4</v>
      </c>
      <c r="M40" s="12">
        <v>0.1</v>
      </c>
      <c r="N40" s="12">
        <v>3.96</v>
      </c>
      <c r="O40" s="12">
        <v>-5.2</v>
      </c>
      <c r="P40" s="13">
        <f t="shared" si="0"/>
        <v>-4.7</v>
      </c>
      <c r="Q40" s="13">
        <f t="shared" si="1"/>
        <v>3.56</v>
      </c>
      <c r="R40" s="13">
        <f t="shared" si="4"/>
        <v>153.82938660155992</v>
      </c>
      <c r="S40" s="5">
        <f t="shared" si="2"/>
        <v>2021</v>
      </c>
      <c r="T40" s="5" t="str">
        <f t="shared" si="3"/>
        <v>Q1</v>
      </c>
    </row>
    <row r="41" spans="1:20" ht="15.75" customHeight="1" x14ac:dyDescent="0.25">
      <c r="A41" s="8" t="s">
        <v>50</v>
      </c>
      <c r="B41" s="9">
        <v>104</v>
      </c>
      <c r="C41" s="9">
        <v>113.7</v>
      </c>
      <c r="D41" s="9">
        <v>88.5</v>
      </c>
      <c r="E41" s="9">
        <v>60.6</v>
      </c>
      <c r="F41" s="9">
        <v>117.5</v>
      </c>
      <c r="G41" s="9">
        <v>130.19999999999999</v>
      </c>
      <c r="H41" s="9">
        <v>7</v>
      </c>
      <c r="I41" s="9">
        <v>-0.2</v>
      </c>
      <c r="J41" s="9">
        <v>-0.2</v>
      </c>
      <c r="K41" s="9">
        <v>-9.3000000000000007</v>
      </c>
      <c r="L41" s="9">
        <v>0.7</v>
      </c>
      <c r="M41" s="9">
        <v>0.1</v>
      </c>
      <c r="N41" s="9">
        <v>4.22</v>
      </c>
      <c r="O41" s="9">
        <v>-1.3</v>
      </c>
      <c r="P41" s="10">
        <f t="shared" si="0"/>
        <v>6.3</v>
      </c>
      <c r="Q41" s="10">
        <f t="shared" si="1"/>
        <v>3.5199999999999996</v>
      </c>
      <c r="R41" s="10">
        <f t="shared" si="4"/>
        <v>159.24418100993481</v>
      </c>
      <c r="S41" s="4">
        <f t="shared" si="2"/>
        <v>2021</v>
      </c>
      <c r="T41" s="4" t="str">
        <f t="shared" si="3"/>
        <v>Q1</v>
      </c>
    </row>
    <row r="42" spans="1:20" ht="15.75" customHeight="1" x14ac:dyDescent="0.25">
      <c r="A42" s="11" t="s">
        <v>51</v>
      </c>
      <c r="B42" s="12">
        <v>112.7</v>
      </c>
      <c r="C42" s="12">
        <v>112.5</v>
      </c>
      <c r="D42" s="12">
        <v>109.8</v>
      </c>
      <c r="E42" s="12">
        <v>99.5</v>
      </c>
      <c r="F42" s="12">
        <v>131.4</v>
      </c>
      <c r="G42" s="12">
        <v>129.5</v>
      </c>
      <c r="H42" s="12">
        <v>43.4</v>
      </c>
      <c r="I42" s="12">
        <v>3</v>
      </c>
      <c r="J42" s="12">
        <v>35.4</v>
      </c>
      <c r="K42" s="12">
        <v>212.7</v>
      </c>
      <c r="L42" s="12">
        <v>1.5</v>
      </c>
      <c r="M42" s="12">
        <v>0.1</v>
      </c>
      <c r="N42" s="12">
        <v>8.8000000000000007</v>
      </c>
      <c r="O42" s="12">
        <v>27.5</v>
      </c>
      <c r="P42" s="13">
        <f t="shared" si="0"/>
        <v>41.9</v>
      </c>
      <c r="Q42" s="13">
        <f t="shared" si="1"/>
        <v>7.3000000000000007</v>
      </c>
      <c r="R42" s="13">
        <f t="shared" si="4"/>
        <v>170.86900622366005</v>
      </c>
      <c r="S42" s="5">
        <f t="shared" si="2"/>
        <v>2021</v>
      </c>
      <c r="T42" s="5" t="str">
        <f t="shared" si="3"/>
        <v>Q2</v>
      </c>
    </row>
    <row r="43" spans="1:20" ht="15.75" customHeight="1" x14ac:dyDescent="0.25">
      <c r="A43" s="8" t="s">
        <v>52</v>
      </c>
      <c r="B43" s="9">
        <v>110.5</v>
      </c>
      <c r="C43" s="9">
        <v>107.2</v>
      </c>
      <c r="D43" s="9">
        <v>111.4</v>
      </c>
      <c r="E43" s="9">
        <v>95.8</v>
      </c>
      <c r="F43" s="9">
        <v>135.6</v>
      </c>
      <c r="G43" s="9">
        <v>122.3</v>
      </c>
      <c r="H43" s="9">
        <v>25.2</v>
      </c>
      <c r="I43" s="9">
        <v>-3.8</v>
      </c>
      <c r="J43" s="9">
        <v>14.4</v>
      </c>
      <c r="K43" s="9">
        <v>154.4</v>
      </c>
      <c r="L43" s="9">
        <v>2.1</v>
      </c>
      <c r="M43" s="9">
        <v>0.1</v>
      </c>
      <c r="N43" s="9">
        <v>9.34</v>
      </c>
      <c r="O43" s="9">
        <v>24.3</v>
      </c>
      <c r="P43" s="10">
        <f t="shared" si="0"/>
        <v>23.099999999999998</v>
      </c>
      <c r="Q43" s="10">
        <f t="shared" si="1"/>
        <v>7.24</v>
      </c>
      <c r="R43" s="10">
        <f t="shared" si="4"/>
        <v>183.23992227425305</v>
      </c>
      <c r="S43" s="4">
        <f t="shared" si="2"/>
        <v>2021</v>
      </c>
      <c r="T43" s="4" t="str">
        <f t="shared" si="3"/>
        <v>Q2</v>
      </c>
    </row>
    <row r="44" spans="1:20" ht="15.75" customHeight="1" x14ac:dyDescent="0.25">
      <c r="A44" s="11" t="s">
        <v>53</v>
      </c>
      <c r="B44" s="12">
        <v>111.2</v>
      </c>
      <c r="C44" s="12">
        <v>110.4</v>
      </c>
      <c r="D44" s="12">
        <v>110.1</v>
      </c>
      <c r="E44" s="12">
        <v>96.4</v>
      </c>
      <c r="F44" s="12">
        <v>125.1</v>
      </c>
      <c r="G44" s="12">
        <v>120.5</v>
      </c>
      <c r="H44" s="12">
        <v>12.8</v>
      </c>
      <c r="I44" s="12">
        <v>0.6</v>
      </c>
      <c r="J44" s="12">
        <v>4</v>
      </c>
      <c r="K44" s="12">
        <v>46.4</v>
      </c>
      <c r="L44" s="12">
        <v>2.5</v>
      </c>
      <c r="M44" s="12">
        <v>0.1</v>
      </c>
      <c r="N44" s="12">
        <v>8.64</v>
      </c>
      <c r="O44" s="12">
        <v>22.8</v>
      </c>
      <c r="P44" s="13">
        <f t="shared" si="0"/>
        <v>10.3</v>
      </c>
      <c r="Q44" s="13">
        <f t="shared" si="1"/>
        <v>6.1400000000000006</v>
      </c>
      <c r="R44" s="13">
        <f t="shared" si="4"/>
        <v>194.49085350189216</v>
      </c>
      <c r="S44" s="5">
        <f t="shared" si="2"/>
        <v>2021</v>
      </c>
      <c r="T44" s="5" t="str">
        <f t="shared" si="3"/>
        <v>Q2</v>
      </c>
    </row>
    <row r="45" spans="1:20" ht="15.75" customHeight="1" x14ac:dyDescent="0.25">
      <c r="A45" s="8" t="s">
        <v>54</v>
      </c>
      <c r="B45" s="9">
        <v>108.8</v>
      </c>
      <c r="C45" s="9">
        <v>109.9</v>
      </c>
      <c r="D45" s="9">
        <v>106</v>
      </c>
      <c r="E45" s="9">
        <v>94.2</v>
      </c>
      <c r="F45" s="9">
        <v>121.1</v>
      </c>
      <c r="G45" s="9">
        <v>115</v>
      </c>
      <c r="H45" s="9">
        <v>5</v>
      </c>
      <c r="I45" s="9">
        <v>2</v>
      </c>
      <c r="J45" s="9">
        <v>1</v>
      </c>
      <c r="K45" s="9">
        <v>20.3</v>
      </c>
      <c r="L45" s="9">
        <v>2</v>
      </c>
      <c r="M45" s="9">
        <v>0.1</v>
      </c>
      <c r="N45" s="9">
        <v>7.28</v>
      </c>
      <c r="O45" s="9">
        <v>7</v>
      </c>
      <c r="P45" s="10">
        <f t="shared" si="0"/>
        <v>3</v>
      </c>
      <c r="Q45" s="10">
        <f t="shared" si="1"/>
        <v>5.28</v>
      </c>
      <c r="R45" s="10">
        <f t="shared" si="4"/>
        <v>204.75997056679205</v>
      </c>
      <c r="S45" s="4">
        <f t="shared" si="2"/>
        <v>2021</v>
      </c>
      <c r="T45" s="4" t="str">
        <f t="shared" si="3"/>
        <v>Q3</v>
      </c>
    </row>
    <row r="46" spans="1:20" ht="15.75" customHeight="1" x14ac:dyDescent="0.25">
      <c r="A46" s="11" t="s">
        <v>55</v>
      </c>
      <c r="B46" s="12">
        <v>108.9</v>
      </c>
      <c r="C46" s="12">
        <v>108.7</v>
      </c>
      <c r="D46" s="12">
        <v>107.1</v>
      </c>
      <c r="E46" s="12">
        <v>98.3</v>
      </c>
      <c r="F46" s="12">
        <v>118.1</v>
      </c>
      <c r="G46" s="12">
        <v>114.4</v>
      </c>
      <c r="H46" s="12">
        <v>4.3</v>
      </c>
      <c r="I46" s="12">
        <v>0.1</v>
      </c>
      <c r="J46" s="12">
        <v>-0.5</v>
      </c>
      <c r="K46" s="12">
        <v>13.5</v>
      </c>
      <c r="L46" s="12">
        <v>3.2</v>
      </c>
      <c r="M46" s="12">
        <v>0.1</v>
      </c>
      <c r="N46" s="12">
        <v>5.81</v>
      </c>
      <c r="O46" s="12">
        <v>6.2</v>
      </c>
      <c r="P46" s="13">
        <f t="shared" si="0"/>
        <v>1.0999999999999996</v>
      </c>
      <c r="Q46" s="13">
        <f t="shared" si="1"/>
        <v>2.6099999999999994</v>
      </c>
      <c r="R46" s="13">
        <f t="shared" si="4"/>
        <v>210.10420579858533</v>
      </c>
      <c r="S46" s="5">
        <f t="shared" si="2"/>
        <v>2021</v>
      </c>
      <c r="T46" s="5" t="str">
        <f t="shared" si="3"/>
        <v>Q3</v>
      </c>
    </row>
    <row r="47" spans="1:20" ht="15.75" customHeight="1" x14ac:dyDescent="0.25">
      <c r="A47" s="8" t="s">
        <v>56</v>
      </c>
      <c r="B47" s="9">
        <v>109</v>
      </c>
      <c r="C47" s="9">
        <v>108.3</v>
      </c>
      <c r="D47" s="9">
        <v>106.9</v>
      </c>
      <c r="E47" s="9">
        <v>100</v>
      </c>
      <c r="F47" s="9">
        <v>111.9</v>
      </c>
      <c r="G47" s="9">
        <v>115.8</v>
      </c>
      <c r="H47" s="9">
        <v>3.2</v>
      </c>
      <c r="I47" s="9">
        <v>-0.6</v>
      </c>
      <c r="J47" s="9">
        <v>0.4</v>
      </c>
      <c r="K47" s="9">
        <v>13.3</v>
      </c>
      <c r="L47" s="9">
        <v>3.1</v>
      </c>
      <c r="M47" s="9">
        <v>0.1</v>
      </c>
      <c r="N47" s="9">
        <v>4.76</v>
      </c>
      <c r="O47" s="9">
        <v>5.4</v>
      </c>
      <c r="P47" s="10">
        <f t="shared" si="0"/>
        <v>0.10000000000000009</v>
      </c>
      <c r="Q47" s="10">
        <f t="shared" si="1"/>
        <v>1.6599999999999997</v>
      </c>
      <c r="R47" s="10">
        <f t="shared" si="4"/>
        <v>213.59193561484184</v>
      </c>
      <c r="S47" s="4">
        <f t="shared" si="2"/>
        <v>2021</v>
      </c>
      <c r="T47" s="4" t="str">
        <f t="shared" si="3"/>
        <v>Q3</v>
      </c>
    </row>
    <row r="48" spans="1:20" ht="15.75" customHeight="1" x14ac:dyDescent="0.25">
      <c r="A48" s="11" t="s">
        <v>57</v>
      </c>
      <c r="B48" s="12">
        <v>108.8</v>
      </c>
      <c r="C48" s="12">
        <v>108.7</v>
      </c>
      <c r="D48" s="12">
        <v>109.1</v>
      </c>
      <c r="E48" s="12">
        <v>103</v>
      </c>
      <c r="F48" s="12">
        <v>114.8</v>
      </c>
      <c r="G48" s="12">
        <v>112.6</v>
      </c>
      <c r="H48" s="12">
        <v>2.6</v>
      </c>
      <c r="I48" s="12">
        <v>1.4</v>
      </c>
      <c r="J48" s="12">
        <v>-1</v>
      </c>
      <c r="K48" s="12">
        <v>17.8</v>
      </c>
      <c r="L48" s="12">
        <v>4.2</v>
      </c>
      <c r="M48" s="12">
        <v>0.1</v>
      </c>
      <c r="N48" s="12">
        <v>4.6500000000000004</v>
      </c>
      <c r="O48" s="12">
        <v>4.7</v>
      </c>
      <c r="P48" s="13">
        <f t="shared" si="0"/>
        <v>-1.6</v>
      </c>
      <c r="Q48" s="13">
        <f t="shared" si="1"/>
        <v>0.45000000000000018</v>
      </c>
      <c r="R48" s="13">
        <f t="shared" si="4"/>
        <v>214.55309932510863</v>
      </c>
      <c r="S48" s="5">
        <f t="shared" si="2"/>
        <v>2021</v>
      </c>
      <c r="T48" s="5" t="str">
        <f t="shared" si="3"/>
        <v>Q4</v>
      </c>
    </row>
    <row r="49" spans="1:20" ht="15.75" customHeight="1" x14ac:dyDescent="0.25">
      <c r="A49" s="8" t="s">
        <v>58</v>
      </c>
      <c r="B49" s="9">
        <v>108.5</v>
      </c>
      <c r="C49" s="9">
        <v>107.4</v>
      </c>
      <c r="D49" s="9">
        <v>107.9</v>
      </c>
      <c r="E49" s="9">
        <v>103.1</v>
      </c>
      <c r="F49" s="9">
        <v>110.8</v>
      </c>
      <c r="G49" s="9">
        <v>113.3</v>
      </c>
      <c r="H49" s="9">
        <v>9.4</v>
      </c>
      <c r="I49" s="9">
        <v>-0.3</v>
      </c>
      <c r="J49" s="9">
        <v>-2.2000000000000002</v>
      </c>
      <c r="K49" s="9">
        <v>55.6</v>
      </c>
      <c r="L49" s="9">
        <v>5.0999999999999996</v>
      </c>
      <c r="M49" s="9">
        <v>0.1</v>
      </c>
      <c r="N49" s="9">
        <v>3.79</v>
      </c>
      <c r="O49" s="9">
        <v>5.9</v>
      </c>
      <c r="P49" s="10">
        <f t="shared" si="0"/>
        <v>4.3000000000000007</v>
      </c>
      <c r="Q49" s="10">
        <f t="shared" si="1"/>
        <v>-1.3099999999999996</v>
      </c>
      <c r="R49" s="10">
        <f t="shared" si="4"/>
        <v>211.74245372394972</v>
      </c>
      <c r="S49" s="4">
        <f t="shared" si="2"/>
        <v>2021</v>
      </c>
      <c r="T49" s="4" t="str">
        <f t="shared" si="3"/>
        <v>Q4</v>
      </c>
    </row>
    <row r="50" spans="1:20" ht="15.75" customHeight="1" x14ac:dyDescent="0.25">
      <c r="A50" s="11" t="s">
        <v>59</v>
      </c>
      <c r="B50" s="12">
        <v>108.6</v>
      </c>
      <c r="C50" s="12">
        <v>108.3</v>
      </c>
      <c r="D50" s="12">
        <v>106.4</v>
      </c>
      <c r="E50" s="12">
        <v>100.2</v>
      </c>
      <c r="F50" s="12">
        <v>115.6</v>
      </c>
      <c r="G50" s="12">
        <v>117.5</v>
      </c>
      <c r="H50" s="12">
        <v>8.4</v>
      </c>
      <c r="I50" s="12">
        <v>5.4</v>
      </c>
      <c r="J50" s="12">
        <v>2.4</v>
      </c>
      <c r="K50" s="12">
        <v>16.2</v>
      </c>
      <c r="L50" s="12">
        <v>5.4</v>
      </c>
      <c r="M50" s="12">
        <v>0.1</v>
      </c>
      <c r="N50" s="12">
        <v>6.22</v>
      </c>
      <c r="O50" s="12">
        <v>6.3</v>
      </c>
      <c r="P50" s="13">
        <f t="shared" si="0"/>
        <v>3</v>
      </c>
      <c r="Q50" s="13">
        <f t="shared" si="1"/>
        <v>0.8199999999999994</v>
      </c>
      <c r="R50" s="13">
        <f t="shared" si="4"/>
        <v>213.47874184448611</v>
      </c>
      <c r="S50" s="5">
        <f t="shared" si="2"/>
        <v>2021</v>
      </c>
      <c r="T50" s="5" t="str">
        <f t="shared" si="3"/>
        <v>Q4</v>
      </c>
    </row>
    <row r="51" spans="1:20" ht="15.75" customHeight="1" x14ac:dyDescent="0.25">
      <c r="A51" s="8" t="s">
        <v>60</v>
      </c>
      <c r="B51" s="9">
        <v>107.7</v>
      </c>
      <c r="C51" s="9">
        <v>105.2</v>
      </c>
      <c r="D51" s="9">
        <v>105.3</v>
      </c>
      <c r="E51" s="9">
        <v>92.5</v>
      </c>
      <c r="F51" s="9">
        <v>111.5</v>
      </c>
      <c r="G51" s="9">
        <v>121.9</v>
      </c>
      <c r="H51" s="9">
        <v>16.399999999999999</v>
      </c>
      <c r="I51" s="9">
        <v>-0.7</v>
      </c>
      <c r="J51" s="9">
        <v>16.3</v>
      </c>
      <c r="K51" s="9">
        <v>76.099999999999994</v>
      </c>
      <c r="L51" s="9">
        <v>5.5</v>
      </c>
      <c r="M51" s="9">
        <v>0.25</v>
      </c>
      <c r="N51" s="9">
        <v>5.53</v>
      </c>
      <c r="O51" s="9">
        <v>9.3000000000000007</v>
      </c>
      <c r="P51" s="10">
        <f t="shared" si="0"/>
        <v>10.899999999999999</v>
      </c>
      <c r="Q51" s="10">
        <f t="shared" si="1"/>
        <v>3.0000000000000249E-2</v>
      </c>
      <c r="R51" s="10">
        <f t="shared" si="4"/>
        <v>213.54278546703944</v>
      </c>
      <c r="S51" s="4">
        <f t="shared" si="2"/>
        <v>2022</v>
      </c>
      <c r="T51" s="4" t="str">
        <f t="shared" si="3"/>
        <v>Q1</v>
      </c>
    </row>
    <row r="52" spans="1:20" ht="15.75" customHeight="1" x14ac:dyDescent="0.25">
      <c r="A52" s="11" t="s">
        <v>61</v>
      </c>
      <c r="B52" s="12">
        <v>106.3</v>
      </c>
      <c r="C52" s="12">
        <v>104.4</v>
      </c>
      <c r="D52" s="12">
        <v>105.2</v>
      </c>
      <c r="E52" s="12">
        <v>100.1</v>
      </c>
      <c r="F52" s="12">
        <v>110.6</v>
      </c>
      <c r="G52" s="12">
        <v>114</v>
      </c>
      <c r="H52" s="12">
        <v>15.1</v>
      </c>
      <c r="I52" s="12">
        <v>-1.8</v>
      </c>
      <c r="J52" s="12">
        <v>5.6</v>
      </c>
      <c r="K52" s="12">
        <v>104.9</v>
      </c>
      <c r="L52" s="12">
        <v>6.2</v>
      </c>
      <c r="M52" s="12">
        <v>0.25</v>
      </c>
      <c r="N52" s="12">
        <v>6.02</v>
      </c>
      <c r="O52" s="12">
        <v>9.6999999999999993</v>
      </c>
      <c r="P52" s="13">
        <f t="shared" si="0"/>
        <v>8.8999999999999986</v>
      </c>
      <c r="Q52" s="13">
        <f t="shared" si="1"/>
        <v>-0.1800000000000006</v>
      </c>
      <c r="R52" s="13">
        <f t="shared" si="4"/>
        <v>213.15840845319877</v>
      </c>
      <c r="S52" s="5">
        <f t="shared" si="2"/>
        <v>2022</v>
      </c>
      <c r="T52" s="5" t="str">
        <f t="shared" si="3"/>
        <v>Q1</v>
      </c>
    </row>
    <row r="53" spans="1:20" ht="15.75" customHeight="1" x14ac:dyDescent="0.25">
      <c r="A53" s="8" t="s">
        <v>62</v>
      </c>
      <c r="B53" s="9">
        <v>105.5</v>
      </c>
      <c r="C53" s="9">
        <v>104.5</v>
      </c>
      <c r="D53" s="9">
        <v>107.4</v>
      </c>
      <c r="E53" s="9">
        <v>99.8</v>
      </c>
      <c r="F53" s="9">
        <v>112.8</v>
      </c>
      <c r="G53" s="9">
        <v>102.2</v>
      </c>
      <c r="H53" s="9">
        <v>11.8</v>
      </c>
      <c r="I53" s="9">
        <v>-1.8</v>
      </c>
      <c r="J53" s="9">
        <v>4.2</v>
      </c>
      <c r="K53" s="9">
        <v>79.900000000000006</v>
      </c>
      <c r="L53" s="9">
        <v>7</v>
      </c>
      <c r="M53" s="9">
        <v>0.5</v>
      </c>
      <c r="N53" s="9">
        <v>10.32</v>
      </c>
      <c r="O53" s="9">
        <v>8.6</v>
      </c>
      <c r="P53" s="10">
        <f t="shared" si="0"/>
        <v>4.8000000000000007</v>
      </c>
      <c r="Q53" s="10">
        <f t="shared" si="1"/>
        <v>3.3200000000000003</v>
      </c>
      <c r="R53" s="10">
        <f t="shared" si="4"/>
        <v>220.23526761384494</v>
      </c>
      <c r="S53" s="4">
        <f t="shared" si="2"/>
        <v>2022</v>
      </c>
      <c r="T53" s="4" t="str">
        <f t="shared" si="3"/>
        <v>Q1</v>
      </c>
    </row>
    <row r="54" spans="1:20" ht="15.75" customHeight="1" x14ac:dyDescent="0.25">
      <c r="A54" s="11" t="s">
        <v>63</v>
      </c>
      <c r="B54" s="12">
        <v>104.6</v>
      </c>
      <c r="C54" s="12">
        <v>103.7</v>
      </c>
      <c r="D54" s="12">
        <v>104</v>
      </c>
      <c r="E54" s="12">
        <v>100</v>
      </c>
      <c r="F54" s="12">
        <v>108.8</v>
      </c>
      <c r="G54" s="12">
        <v>108.2</v>
      </c>
      <c r="H54" s="12">
        <v>2.8</v>
      </c>
      <c r="I54" s="12">
        <v>-0.9</v>
      </c>
      <c r="J54" s="12">
        <v>-0.4</v>
      </c>
      <c r="K54" s="12">
        <v>9.1</v>
      </c>
      <c r="L54" s="12">
        <v>9</v>
      </c>
      <c r="M54" s="12">
        <v>0.75</v>
      </c>
      <c r="N54" s="12">
        <v>5.14</v>
      </c>
      <c r="O54" s="12">
        <v>3.4</v>
      </c>
      <c r="P54" s="13">
        <f t="shared" si="0"/>
        <v>-6.2</v>
      </c>
      <c r="Q54" s="13">
        <f t="shared" si="1"/>
        <v>-3.8600000000000003</v>
      </c>
      <c r="R54" s="13">
        <f t="shared" si="4"/>
        <v>211.73418628395052</v>
      </c>
      <c r="S54" s="5">
        <f t="shared" si="2"/>
        <v>2022</v>
      </c>
      <c r="T54" s="5" t="str">
        <f t="shared" si="3"/>
        <v>Q2</v>
      </c>
    </row>
    <row r="55" spans="1:20" ht="15.75" customHeight="1" x14ac:dyDescent="0.25">
      <c r="A55" s="8" t="s">
        <v>64</v>
      </c>
      <c r="B55" s="9">
        <v>103.3</v>
      </c>
      <c r="C55" s="9">
        <v>101.7</v>
      </c>
      <c r="D55" s="9">
        <v>104</v>
      </c>
      <c r="E55" s="9">
        <v>101.8</v>
      </c>
      <c r="F55" s="9">
        <v>108.1</v>
      </c>
      <c r="G55" s="9">
        <v>105</v>
      </c>
      <c r="H55" s="9">
        <v>3.9</v>
      </c>
      <c r="I55" s="9">
        <v>3.3</v>
      </c>
      <c r="J55" s="9">
        <v>1.4</v>
      </c>
      <c r="K55" s="9">
        <v>14.5</v>
      </c>
      <c r="L55" s="9">
        <v>9.1</v>
      </c>
      <c r="M55" s="9">
        <v>0.75</v>
      </c>
      <c r="N55" s="9">
        <v>4.33</v>
      </c>
      <c r="O55" s="9">
        <v>2.7</v>
      </c>
      <c r="P55" s="10">
        <f t="shared" si="0"/>
        <v>-5.1999999999999993</v>
      </c>
      <c r="Q55" s="10">
        <f t="shared" si="1"/>
        <v>-4.7699999999999996</v>
      </c>
      <c r="R55" s="10">
        <f t="shared" si="4"/>
        <v>201.63446559820608</v>
      </c>
      <c r="S55" s="4">
        <f t="shared" si="2"/>
        <v>2022</v>
      </c>
      <c r="T55" s="4" t="str">
        <f t="shared" si="3"/>
        <v>Q2</v>
      </c>
    </row>
    <row r="56" spans="1:20" ht="15.75" customHeight="1" x14ac:dyDescent="0.25">
      <c r="A56" s="11" t="s">
        <v>65</v>
      </c>
      <c r="B56" s="12">
        <v>103.1</v>
      </c>
      <c r="C56" s="12">
        <v>104</v>
      </c>
      <c r="D56" s="12">
        <v>103.3</v>
      </c>
      <c r="E56" s="12">
        <v>100.8</v>
      </c>
      <c r="F56" s="12">
        <v>102.7</v>
      </c>
      <c r="G56" s="12">
        <v>100.4</v>
      </c>
      <c r="H56" s="12">
        <v>3.9</v>
      </c>
      <c r="I56" s="12">
        <v>3.4</v>
      </c>
      <c r="J56" s="12">
        <v>3.5</v>
      </c>
      <c r="K56" s="12">
        <v>12.1</v>
      </c>
      <c r="L56" s="12">
        <v>9.4</v>
      </c>
      <c r="M56" s="12">
        <v>1</v>
      </c>
      <c r="N56" s="12">
        <v>6.26</v>
      </c>
      <c r="O56" s="12">
        <v>2.1</v>
      </c>
      <c r="P56" s="13">
        <f t="shared" si="0"/>
        <v>-5.5</v>
      </c>
      <c r="Q56" s="13">
        <f t="shared" si="1"/>
        <v>-3.1400000000000006</v>
      </c>
      <c r="R56" s="13">
        <f t="shared" si="4"/>
        <v>195.30314337842242</v>
      </c>
      <c r="S56" s="5">
        <f t="shared" si="2"/>
        <v>2022</v>
      </c>
      <c r="T56" s="5" t="str">
        <f t="shared" si="3"/>
        <v>Q2</v>
      </c>
    </row>
    <row r="57" spans="1:20" ht="15.75" customHeight="1" x14ac:dyDescent="0.25">
      <c r="A57" s="8" t="s">
        <v>66</v>
      </c>
      <c r="B57" s="9">
        <v>103.6</v>
      </c>
      <c r="C57" s="9">
        <v>105.6</v>
      </c>
      <c r="D57" s="9">
        <v>103.3</v>
      </c>
      <c r="E57" s="9">
        <v>100.8</v>
      </c>
      <c r="F57" s="9">
        <v>102.1</v>
      </c>
      <c r="G57" s="9">
        <v>100.9</v>
      </c>
      <c r="H57" s="9">
        <v>7.6</v>
      </c>
      <c r="I57" s="9">
        <v>7.4</v>
      </c>
      <c r="J57" s="9">
        <v>8.3000000000000007</v>
      </c>
      <c r="K57" s="9">
        <v>15.3</v>
      </c>
      <c r="L57" s="9">
        <v>10.1</v>
      </c>
      <c r="M57" s="9">
        <v>1.25</v>
      </c>
      <c r="N57" s="9">
        <v>5.86</v>
      </c>
      <c r="O57" s="9">
        <v>1.8</v>
      </c>
      <c r="P57" s="10">
        <f t="shared" si="0"/>
        <v>-2.5</v>
      </c>
      <c r="Q57" s="10">
        <f t="shared" si="1"/>
        <v>-4.2399999999999993</v>
      </c>
      <c r="R57" s="10">
        <f t="shared" si="4"/>
        <v>187.0222900991773</v>
      </c>
      <c r="S57" s="4">
        <f t="shared" si="2"/>
        <v>2022</v>
      </c>
      <c r="T57" s="4" t="str">
        <f t="shared" si="3"/>
        <v>Q3</v>
      </c>
    </row>
    <row r="58" spans="1:20" ht="15.75" customHeight="1" x14ac:dyDescent="0.25">
      <c r="A58" s="11" t="s">
        <v>67</v>
      </c>
      <c r="B58" s="12">
        <v>101.6</v>
      </c>
      <c r="C58" s="12">
        <v>104.2</v>
      </c>
      <c r="D58" s="12">
        <v>99.9</v>
      </c>
      <c r="E58" s="12">
        <v>96</v>
      </c>
      <c r="F58" s="12">
        <v>102.1</v>
      </c>
      <c r="G58" s="12">
        <v>99.8</v>
      </c>
      <c r="H58" s="12">
        <v>4.7</v>
      </c>
      <c r="I58" s="12">
        <v>7.5</v>
      </c>
      <c r="J58" s="12">
        <v>4</v>
      </c>
      <c r="K58" s="12">
        <v>6</v>
      </c>
      <c r="L58" s="12">
        <v>9.9</v>
      </c>
      <c r="M58" s="12">
        <v>1.25</v>
      </c>
      <c r="N58" s="12">
        <v>6.18</v>
      </c>
      <c r="O58" s="12">
        <v>1.7</v>
      </c>
      <c r="P58" s="13">
        <f t="shared" si="0"/>
        <v>-5.2</v>
      </c>
      <c r="Q58" s="13">
        <f t="shared" si="1"/>
        <v>-3.7200000000000006</v>
      </c>
      <c r="R58" s="13">
        <f t="shared" si="4"/>
        <v>180.06506090748789</v>
      </c>
      <c r="S58" s="5">
        <f t="shared" si="2"/>
        <v>2022</v>
      </c>
      <c r="T58" s="5" t="str">
        <f t="shared" si="3"/>
        <v>Q3</v>
      </c>
    </row>
    <row r="59" spans="1:20" ht="15.75" customHeight="1" x14ac:dyDescent="0.25">
      <c r="A59" s="8" t="s">
        <v>68</v>
      </c>
      <c r="B59" s="9">
        <v>100.4</v>
      </c>
      <c r="C59" s="9">
        <v>101.9</v>
      </c>
      <c r="D59" s="9">
        <v>100</v>
      </c>
      <c r="E59" s="9">
        <v>97.4</v>
      </c>
      <c r="F59" s="9">
        <v>102.3</v>
      </c>
      <c r="G59" s="9">
        <v>97.8</v>
      </c>
      <c r="H59" s="9">
        <v>3.8</v>
      </c>
      <c r="I59" s="9">
        <v>6.7</v>
      </c>
      <c r="J59" s="9">
        <v>2.1</v>
      </c>
      <c r="K59" s="9">
        <v>6.7</v>
      </c>
      <c r="L59" s="9">
        <v>10.1</v>
      </c>
      <c r="M59" s="9">
        <v>1.75</v>
      </c>
      <c r="N59" s="9">
        <v>5.89</v>
      </c>
      <c r="O59" s="9">
        <v>0.6</v>
      </c>
      <c r="P59" s="10">
        <f t="shared" si="0"/>
        <v>-6.3</v>
      </c>
      <c r="Q59" s="10">
        <f t="shared" si="1"/>
        <v>-4.21</v>
      </c>
      <c r="R59" s="10">
        <f t="shared" si="4"/>
        <v>172.48432184328266</v>
      </c>
      <c r="S59" s="4">
        <f t="shared" si="2"/>
        <v>2022</v>
      </c>
      <c r="T59" s="4" t="str">
        <f t="shared" si="3"/>
        <v>Q3</v>
      </c>
    </row>
    <row r="60" spans="1:20" ht="15.75" customHeight="1" x14ac:dyDescent="0.25">
      <c r="A60" s="11" t="s">
        <v>69</v>
      </c>
      <c r="B60" s="12">
        <v>101.7</v>
      </c>
      <c r="C60" s="12">
        <v>101.9</v>
      </c>
      <c r="D60" s="12">
        <v>102</v>
      </c>
      <c r="E60" s="12">
        <v>100.2</v>
      </c>
      <c r="F60" s="12">
        <v>101.6</v>
      </c>
      <c r="G60" s="12">
        <v>98.6</v>
      </c>
      <c r="H60" s="12">
        <v>5.2</v>
      </c>
      <c r="I60" s="12">
        <v>7.2</v>
      </c>
      <c r="J60" s="12">
        <v>1.5</v>
      </c>
      <c r="K60" s="12">
        <v>6.6</v>
      </c>
      <c r="L60" s="12">
        <v>11.1</v>
      </c>
      <c r="M60" s="12">
        <v>2.25</v>
      </c>
      <c r="N60" s="12">
        <v>6.5</v>
      </c>
      <c r="O60" s="12">
        <v>-0.4</v>
      </c>
      <c r="P60" s="13">
        <f t="shared" si="0"/>
        <v>-5.8999999999999995</v>
      </c>
      <c r="Q60" s="13">
        <f t="shared" si="1"/>
        <v>-4.5999999999999996</v>
      </c>
      <c r="R60" s="13">
        <f t="shared" si="4"/>
        <v>164.55004303849165</v>
      </c>
      <c r="S60" s="5">
        <f t="shared" si="2"/>
        <v>2022</v>
      </c>
      <c r="T60" s="5" t="str">
        <f t="shared" si="3"/>
        <v>Q4</v>
      </c>
    </row>
    <row r="61" spans="1:20" ht="15.75" customHeight="1" x14ac:dyDescent="0.25">
      <c r="A61" s="8" t="s">
        <v>70</v>
      </c>
      <c r="B61" s="9">
        <v>100.7</v>
      </c>
      <c r="C61" s="9">
        <v>102.1</v>
      </c>
      <c r="D61" s="9">
        <v>101.1</v>
      </c>
      <c r="E61" s="9">
        <v>101.3</v>
      </c>
      <c r="F61" s="9">
        <v>103</v>
      </c>
      <c r="G61" s="9">
        <v>94.7</v>
      </c>
      <c r="H61" s="9">
        <v>3.7</v>
      </c>
      <c r="I61" s="9">
        <v>8.4</v>
      </c>
      <c r="J61" s="9">
        <v>4.5999999999999996</v>
      </c>
      <c r="K61" s="9">
        <v>7.1</v>
      </c>
      <c r="L61" s="9">
        <v>10.7</v>
      </c>
      <c r="M61" s="9">
        <v>2.25</v>
      </c>
      <c r="N61" s="9">
        <v>7.29</v>
      </c>
      <c r="O61" s="9">
        <v>-0.6</v>
      </c>
      <c r="P61" s="10">
        <f t="shared" si="0"/>
        <v>-6.9999999999999991</v>
      </c>
      <c r="Q61" s="10">
        <f t="shared" si="1"/>
        <v>-3.4099999999999993</v>
      </c>
      <c r="R61" s="10">
        <f t="shared" si="4"/>
        <v>158.93888657087908</v>
      </c>
      <c r="S61" s="4">
        <f t="shared" si="2"/>
        <v>2022</v>
      </c>
      <c r="T61" s="4" t="str">
        <f t="shared" si="3"/>
        <v>Q4</v>
      </c>
    </row>
    <row r="62" spans="1:20" ht="15.75" customHeight="1" x14ac:dyDescent="0.25">
      <c r="A62" s="11" t="s">
        <v>71</v>
      </c>
      <c r="B62" s="12">
        <v>100.9</v>
      </c>
      <c r="C62" s="12">
        <v>101.1</v>
      </c>
      <c r="D62" s="12">
        <v>101.3</v>
      </c>
      <c r="E62" s="12">
        <v>103.6</v>
      </c>
      <c r="F62" s="12">
        <v>101.8</v>
      </c>
      <c r="G62" s="12">
        <v>96</v>
      </c>
      <c r="H62" s="12">
        <v>2.9</v>
      </c>
      <c r="I62" s="12">
        <v>6.3</v>
      </c>
      <c r="J62" s="12">
        <v>6.5</v>
      </c>
      <c r="K62" s="12">
        <v>11.7</v>
      </c>
      <c r="L62" s="12">
        <v>10.5</v>
      </c>
      <c r="M62" s="12">
        <v>3</v>
      </c>
      <c r="N62" s="12">
        <v>4.88</v>
      </c>
      <c r="O62" s="12">
        <v>0.3</v>
      </c>
      <c r="P62" s="13">
        <f t="shared" si="0"/>
        <v>-7.6</v>
      </c>
      <c r="Q62" s="13">
        <f t="shared" si="1"/>
        <v>-5.62</v>
      </c>
      <c r="R62" s="13">
        <f t="shared" si="4"/>
        <v>150.00652114559566</v>
      </c>
      <c r="S62" s="5">
        <f t="shared" si="2"/>
        <v>2022</v>
      </c>
      <c r="T62" s="5" t="str">
        <f t="shared" si="3"/>
        <v>Q4</v>
      </c>
    </row>
    <row r="63" spans="1:20" ht="15.75" customHeight="1" x14ac:dyDescent="0.25">
      <c r="A63" s="8" t="s">
        <v>72</v>
      </c>
      <c r="B63" s="9">
        <v>101</v>
      </c>
      <c r="C63" s="9">
        <v>100.7</v>
      </c>
      <c r="D63" s="9">
        <v>100.6</v>
      </c>
      <c r="E63" s="9">
        <v>102.9</v>
      </c>
      <c r="F63" s="9">
        <v>101.2</v>
      </c>
      <c r="G63" s="9">
        <v>98.8</v>
      </c>
      <c r="H63" s="9">
        <v>3.4</v>
      </c>
      <c r="I63" s="9">
        <v>9.1999999999999993</v>
      </c>
      <c r="J63" s="9">
        <v>6.7</v>
      </c>
      <c r="K63" s="9">
        <v>19.5</v>
      </c>
      <c r="L63" s="9">
        <v>10.1</v>
      </c>
      <c r="M63" s="9">
        <v>3.5</v>
      </c>
      <c r="N63" s="9">
        <v>6.23</v>
      </c>
      <c r="O63" s="9">
        <v>0.3</v>
      </c>
      <c r="P63" s="10">
        <f t="shared" si="0"/>
        <v>-6.6999999999999993</v>
      </c>
      <c r="Q63" s="10">
        <f t="shared" si="1"/>
        <v>-3.8699999999999992</v>
      </c>
      <c r="R63" s="10">
        <f t="shared" si="4"/>
        <v>144.20126877726111</v>
      </c>
      <c r="S63" s="4">
        <f t="shared" si="2"/>
        <v>2023</v>
      </c>
      <c r="T63" s="4" t="str">
        <f t="shared" si="3"/>
        <v>Q1</v>
      </c>
    </row>
    <row r="64" spans="1:20" ht="15.75" customHeight="1" x14ac:dyDescent="0.25">
      <c r="A64" s="11" t="s">
        <v>73</v>
      </c>
      <c r="B64" s="12">
        <v>101.3</v>
      </c>
      <c r="C64" s="12">
        <v>101.2</v>
      </c>
      <c r="D64" s="12">
        <v>102</v>
      </c>
      <c r="E64" s="12">
        <v>103.4</v>
      </c>
      <c r="F64" s="12">
        <v>99.4</v>
      </c>
      <c r="G64" s="12">
        <v>99.6</v>
      </c>
      <c r="H64" s="12">
        <v>4.9000000000000004</v>
      </c>
      <c r="I64" s="12">
        <v>11.2</v>
      </c>
      <c r="J64" s="12">
        <v>6.5</v>
      </c>
      <c r="K64" s="12">
        <v>12.5</v>
      </c>
      <c r="L64" s="12">
        <v>10.4</v>
      </c>
      <c r="M64" s="12">
        <v>3.5</v>
      </c>
      <c r="N64" s="12">
        <v>6.74</v>
      </c>
      <c r="O64" s="12">
        <v>-0.2</v>
      </c>
      <c r="P64" s="13">
        <f t="shared" si="0"/>
        <v>-5.5</v>
      </c>
      <c r="Q64" s="13">
        <f t="shared" si="1"/>
        <v>-3.66</v>
      </c>
      <c r="R64" s="13">
        <f t="shared" si="4"/>
        <v>138.92350234001336</v>
      </c>
      <c r="S64" s="5">
        <f t="shared" si="2"/>
        <v>2023</v>
      </c>
      <c r="T64" s="5" t="str">
        <f t="shared" si="3"/>
        <v>Q1</v>
      </c>
    </row>
    <row r="65" spans="1:20" ht="15.75" customHeight="1" x14ac:dyDescent="0.25">
      <c r="A65" s="8" t="s">
        <v>74</v>
      </c>
      <c r="B65" s="9">
        <v>100</v>
      </c>
      <c r="C65" s="9">
        <v>100.5</v>
      </c>
      <c r="D65" s="9">
        <v>99.7</v>
      </c>
      <c r="E65" s="9">
        <v>100.7</v>
      </c>
      <c r="F65" s="9">
        <v>100.1</v>
      </c>
      <c r="G65" s="9">
        <v>99</v>
      </c>
      <c r="H65" s="9">
        <v>2.8</v>
      </c>
      <c r="I65" s="9">
        <v>10.4</v>
      </c>
      <c r="J65" s="9">
        <v>3.1</v>
      </c>
      <c r="K65" s="9">
        <v>9.1999999999999993</v>
      </c>
      <c r="L65" s="9">
        <v>10.1</v>
      </c>
      <c r="M65" s="9">
        <v>4</v>
      </c>
      <c r="N65" s="9">
        <v>5.91</v>
      </c>
      <c r="O65" s="9">
        <v>0.3</v>
      </c>
      <c r="P65" s="10">
        <f t="shared" si="0"/>
        <v>-7.3</v>
      </c>
      <c r="Q65" s="10">
        <f t="shared" si="1"/>
        <v>-4.1899999999999995</v>
      </c>
      <c r="R65" s="10">
        <f t="shared" si="4"/>
        <v>133.1026075919668</v>
      </c>
      <c r="S65" s="4">
        <f t="shared" si="2"/>
        <v>2023</v>
      </c>
      <c r="T65" s="4" t="str">
        <f t="shared" si="3"/>
        <v>Q1</v>
      </c>
    </row>
    <row r="66" spans="1:20" ht="15.75" customHeight="1" x14ac:dyDescent="0.25">
      <c r="A66" s="11" t="s">
        <v>75</v>
      </c>
      <c r="B66" s="12">
        <v>101.3</v>
      </c>
      <c r="C66" s="12">
        <v>101</v>
      </c>
      <c r="D66" s="12">
        <v>102.4</v>
      </c>
      <c r="E66" s="12">
        <v>103</v>
      </c>
      <c r="F66" s="12">
        <v>102.4</v>
      </c>
      <c r="G66" s="12">
        <v>100</v>
      </c>
      <c r="H66" s="12">
        <v>4.7</v>
      </c>
      <c r="I66" s="12">
        <v>12</v>
      </c>
      <c r="J66" s="12">
        <v>7.6</v>
      </c>
      <c r="K66" s="12">
        <v>11</v>
      </c>
      <c r="L66" s="12">
        <v>8.6999999999999993</v>
      </c>
      <c r="M66" s="12">
        <v>4.25</v>
      </c>
      <c r="N66" s="12">
        <v>7.67</v>
      </c>
      <c r="O66" s="12">
        <v>0.2</v>
      </c>
      <c r="P66" s="13">
        <f t="shared" si="0"/>
        <v>-3.9999999999999991</v>
      </c>
      <c r="Q66" s="13">
        <f t="shared" si="1"/>
        <v>-1.0299999999999994</v>
      </c>
      <c r="R66" s="13">
        <f t="shared" si="4"/>
        <v>131.73165073376956</v>
      </c>
      <c r="S66" s="5">
        <f t="shared" si="2"/>
        <v>2023</v>
      </c>
      <c r="T66" s="5" t="str">
        <f t="shared" si="3"/>
        <v>Q2</v>
      </c>
    </row>
    <row r="67" spans="1:20" ht="15.75" customHeight="1" x14ac:dyDescent="0.25">
      <c r="A67" s="8" t="s">
        <v>76</v>
      </c>
      <c r="B67" s="9">
        <v>100.4</v>
      </c>
      <c r="C67" s="9">
        <v>100.5</v>
      </c>
      <c r="D67" s="9">
        <v>101.1</v>
      </c>
      <c r="E67" s="9">
        <v>101.1</v>
      </c>
      <c r="F67" s="9">
        <v>101.8</v>
      </c>
      <c r="G67" s="9">
        <v>100.4</v>
      </c>
      <c r="H67" s="9">
        <v>4.3</v>
      </c>
      <c r="I67" s="9">
        <v>12.9</v>
      </c>
      <c r="J67" s="9">
        <v>9.6</v>
      </c>
      <c r="K67" s="9">
        <v>7</v>
      </c>
      <c r="L67" s="9">
        <v>8.6999999999999993</v>
      </c>
      <c r="M67" s="9">
        <v>4.25</v>
      </c>
      <c r="N67" s="9">
        <v>7.98</v>
      </c>
      <c r="O67" s="9">
        <v>0.3</v>
      </c>
      <c r="P67" s="10">
        <f t="shared" ref="P67:P102" si="5">IF(AND(H67&lt;&gt;"",L67&lt;&gt;""),H67-L67,"")</f>
        <v>-4.3999999999999995</v>
      </c>
      <c r="Q67" s="10">
        <f t="shared" ref="Q67:Q102" si="6">IF(AND(N67&lt;&gt;"",L67&lt;&gt;""),N67-L67,"")</f>
        <v>-0.71999999999999886</v>
      </c>
      <c r="R67" s="10">
        <f t="shared" si="4"/>
        <v>130.7831828484864</v>
      </c>
      <c r="S67" s="4">
        <f t="shared" ref="S67:S102" si="7">IF(A67&lt;&gt;"",LEFT(A67,4)*1,"")</f>
        <v>2023</v>
      </c>
      <c r="T67" s="4" t="str">
        <f t="shared" ref="T67:T102" si="8">IF(A67&lt;&gt;"","Q"&amp;INT((MID(A67,6,2)*1-1)/3)+1,"")</f>
        <v>Q2</v>
      </c>
    </row>
    <row r="68" spans="1:20" ht="15.75" customHeight="1" x14ac:dyDescent="0.25">
      <c r="A68" s="11" t="s">
        <v>77</v>
      </c>
      <c r="B68" s="12">
        <v>101.1</v>
      </c>
      <c r="C68" s="12">
        <v>101</v>
      </c>
      <c r="D68" s="12">
        <v>102.1</v>
      </c>
      <c r="E68" s="12">
        <v>102.8</v>
      </c>
      <c r="F68" s="12">
        <v>101.5</v>
      </c>
      <c r="G68" s="12">
        <v>100.1</v>
      </c>
      <c r="H68" s="12">
        <v>3.3</v>
      </c>
      <c r="I68" s="12">
        <v>10.1</v>
      </c>
      <c r="J68" s="12">
        <v>10.8</v>
      </c>
      <c r="K68" s="12">
        <v>9.6999999999999993</v>
      </c>
      <c r="L68" s="12">
        <v>7.9</v>
      </c>
      <c r="M68" s="12">
        <v>4.5</v>
      </c>
      <c r="N68" s="12">
        <v>9.14</v>
      </c>
      <c r="O68" s="12">
        <v>0.5</v>
      </c>
      <c r="P68" s="13">
        <f t="shared" si="5"/>
        <v>-4.6000000000000005</v>
      </c>
      <c r="Q68" s="13">
        <f t="shared" si="6"/>
        <v>1.2400000000000002</v>
      </c>
      <c r="R68" s="13">
        <f t="shared" ref="R68:R102" si="9">IF(R67&lt;&gt;"",R67*(1+IFERROR(Q68/100,0)),"")</f>
        <v>132.40489431580764</v>
      </c>
      <c r="S68" s="5">
        <f t="shared" si="7"/>
        <v>2023</v>
      </c>
      <c r="T68" s="5" t="str">
        <f t="shared" si="8"/>
        <v>Q2</v>
      </c>
    </row>
    <row r="69" spans="1:20" ht="15.75" customHeight="1" x14ac:dyDescent="0.25">
      <c r="A69" s="8" t="s">
        <v>78</v>
      </c>
      <c r="B69" s="9">
        <v>99.9</v>
      </c>
      <c r="C69" s="9">
        <v>99.1</v>
      </c>
      <c r="D69" s="9">
        <v>100.5</v>
      </c>
      <c r="E69" s="9">
        <v>99.5</v>
      </c>
      <c r="F69" s="9">
        <v>101.2</v>
      </c>
      <c r="G69" s="9">
        <v>101.5</v>
      </c>
      <c r="H69" s="9">
        <v>0.7</v>
      </c>
      <c r="I69" s="9">
        <v>5</v>
      </c>
      <c r="J69" s="9">
        <v>4.5</v>
      </c>
      <c r="K69" s="9">
        <v>5.3</v>
      </c>
      <c r="L69" s="9">
        <v>6.8</v>
      </c>
      <c r="M69" s="9">
        <v>5</v>
      </c>
      <c r="N69" s="9">
        <v>8.15</v>
      </c>
      <c r="O69" s="9">
        <v>0.9</v>
      </c>
      <c r="P69" s="10">
        <f t="shared" si="5"/>
        <v>-6.1</v>
      </c>
      <c r="Q69" s="10">
        <f t="shared" si="6"/>
        <v>1.3500000000000005</v>
      </c>
      <c r="R69" s="10">
        <f t="shared" si="9"/>
        <v>134.19236038907104</v>
      </c>
      <c r="S69" s="4">
        <f t="shared" si="7"/>
        <v>2023</v>
      </c>
      <c r="T69" s="4" t="str">
        <f t="shared" si="8"/>
        <v>Q3</v>
      </c>
    </row>
    <row r="70" spans="1:20" ht="15.75" customHeight="1" x14ac:dyDescent="0.25">
      <c r="A70" s="11" t="s">
        <v>79</v>
      </c>
      <c r="B70" s="12">
        <v>99.7</v>
      </c>
      <c r="C70" s="12">
        <v>99.6</v>
      </c>
      <c r="D70" s="12">
        <v>99.4</v>
      </c>
      <c r="E70" s="12">
        <v>98.3</v>
      </c>
      <c r="F70" s="12">
        <v>101</v>
      </c>
      <c r="G70" s="12">
        <v>101.4</v>
      </c>
      <c r="H70" s="12">
        <v>3.6</v>
      </c>
      <c r="I70" s="12">
        <v>6.7</v>
      </c>
      <c r="J70" s="12">
        <v>7.2</v>
      </c>
      <c r="K70" s="12">
        <v>9.6</v>
      </c>
      <c r="L70" s="12">
        <v>6.7</v>
      </c>
      <c r="M70" s="12">
        <v>5</v>
      </c>
      <c r="N70" s="12">
        <v>7.22</v>
      </c>
      <c r="O70" s="12">
        <v>0.6</v>
      </c>
      <c r="P70" s="13">
        <f t="shared" si="5"/>
        <v>-3.1</v>
      </c>
      <c r="Q70" s="13">
        <f t="shared" si="6"/>
        <v>0.51999999999999957</v>
      </c>
      <c r="R70" s="13">
        <f t="shared" si="9"/>
        <v>134.89016066309424</v>
      </c>
      <c r="S70" s="5">
        <f t="shared" si="7"/>
        <v>2023</v>
      </c>
      <c r="T70" s="5" t="str">
        <f t="shared" si="8"/>
        <v>Q3</v>
      </c>
    </row>
    <row r="71" spans="1:20" ht="15.75" customHeight="1" x14ac:dyDescent="0.25">
      <c r="A71" s="8" t="s">
        <v>80</v>
      </c>
      <c r="B71" s="9">
        <v>98.7</v>
      </c>
      <c r="C71" s="9">
        <v>100.1</v>
      </c>
      <c r="D71" s="9">
        <v>97</v>
      </c>
      <c r="E71" s="9">
        <v>94.9</v>
      </c>
      <c r="F71" s="9">
        <v>98.7</v>
      </c>
      <c r="G71" s="9">
        <v>98.5</v>
      </c>
      <c r="H71" s="9">
        <v>3.8</v>
      </c>
      <c r="I71" s="9">
        <v>8.6</v>
      </c>
      <c r="J71" s="9">
        <v>4.8</v>
      </c>
      <c r="K71" s="9">
        <v>4.0999999999999996</v>
      </c>
      <c r="L71" s="9">
        <v>6.7</v>
      </c>
      <c r="M71" s="9">
        <v>5.25</v>
      </c>
      <c r="N71" s="9">
        <v>8.16</v>
      </c>
      <c r="O71" s="9">
        <v>0.4</v>
      </c>
      <c r="P71" s="10">
        <f t="shared" si="5"/>
        <v>-2.9000000000000004</v>
      </c>
      <c r="Q71" s="10">
        <f t="shared" si="6"/>
        <v>1.46</v>
      </c>
      <c r="R71" s="10">
        <f t="shared" si="9"/>
        <v>136.8595570087754</v>
      </c>
      <c r="S71" s="4">
        <f t="shared" si="7"/>
        <v>2023</v>
      </c>
      <c r="T71" s="4" t="str">
        <f t="shared" si="8"/>
        <v>Q3</v>
      </c>
    </row>
    <row r="72" spans="1:20" ht="15.75" customHeight="1" x14ac:dyDescent="0.25">
      <c r="A72" s="11" t="s">
        <v>81</v>
      </c>
      <c r="B72" s="12">
        <v>99.3</v>
      </c>
      <c r="C72" s="12">
        <v>100.6</v>
      </c>
      <c r="D72" s="12">
        <v>97.9</v>
      </c>
      <c r="E72" s="12">
        <v>98.2</v>
      </c>
      <c r="F72" s="12">
        <v>97.1</v>
      </c>
      <c r="G72" s="12">
        <v>100.3</v>
      </c>
      <c r="H72" s="12">
        <v>2.4</v>
      </c>
      <c r="I72" s="12">
        <v>7.7</v>
      </c>
      <c r="J72" s="12">
        <v>5.2</v>
      </c>
      <c r="K72" s="12">
        <v>4</v>
      </c>
      <c r="L72" s="12">
        <v>4.5999999999999996</v>
      </c>
      <c r="M72" s="12">
        <v>5.25</v>
      </c>
      <c r="N72" s="12">
        <v>5.94</v>
      </c>
      <c r="O72" s="12">
        <v>0.2</v>
      </c>
      <c r="P72" s="13">
        <f t="shared" si="5"/>
        <v>-2.1999999999999997</v>
      </c>
      <c r="Q72" s="13">
        <f t="shared" si="6"/>
        <v>1.3400000000000007</v>
      </c>
      <c r="R72" s="13">
        <f t="shared" si="9"/>
        <v>138.69347507269299</v>
      </c>
      <c r="S72" s="5">
        <f t="shared" si="7"/>
        <v>2023</v>
      </c>
      <c r="T72" s="5" t="str">
        <f t="shared" si="8"/>
        <v>Q4</v>
      </c>
    </row>
    <row r="73" spans="1:20" ht="15.75" customHeight="1" x14ac:dyDescent="0.25">
      <c r="A73" s="8" t="s">
        <v>82</v>
      </c>
      <c r="B73" s="9">
        <v>100.8</v>
      </c>
      <c r="C73" s="9">
        <v>100.9</v>
      </c>
      <c r="D73" s="9">
        <v>100.5</v>
      </c>
      <c r="E73" s="9">
        <v>99.9</v>
      </c>
      <c r="F73" s="9">
        <v>98.7</v>
      </c>
      <c r="G73" s="9">
        <v>101.6</v>
      </c>
      <c r="H73" s="9">
        <v>3.9</v>
      </c>
      <c r="I73" s="9">
        <v>6.8</v>
      </c>
      <c r="J73" s="9">
        <v>5.2</v>
      </c>
      <c r="K73" s="9">
        <v>4</v>
      </c>
      <c r="L73" s="9">
        <v>3.9</v>
      </c>
      <c r="M73" s="9">
        <v>5.25</v>
      </c>
      <c r="N73" s="9">
        <v>5.8</v>
      </c>
      <c r="O73" s="9">
        <v>0.3</v>
      </c>
      <c r="P73" s="10">
        <f t="shared" si="5"/>
        <v>0</v>
      </c>
      <c r="Q73" s="10">
        <f t="shared" si="6"/>
        <v>1.9</v>
      </c>
      <c r="R73" s="10">
        <f t="shared" si="9"/>
        <v>141.32865109907414</v>
      </c>
      <c r="S73" s="4">
        <f t="shared" si="7"/>
        <v>2023</v>
      </c>
      <c r="T73" s="4" t="str">
        <f t="shared" si="8"/>
        <v>Q4</v>
      </c>
    </row>
    <row r="74" spans="1:20" ht="15.75" customHeight="1" x14ac:dyDescent="0.25">
      <c r="A74" s="11" t="s">
        <v>83</v>
      </c>
      <c r="B74" s="12">
        <v>97.3</v>
      </c>
      <c r="C74" s="12">
        <v>95.5</v>
      </c>
      <c r="D74" s="12">
        <v>97.5</v>
      </c>
      <c r="E74" s="12">
        <v>96.5</v>
      </c>
      <c r="F74" s="12">
        <v>97.4</v>
      </c>
      <c r="G74" s="12">
        <v>99.5</v>
      </c>
      <c r="H74" s="12">
        <v>-0.2</v>
      </c>
      <c r="I74" s="12">
        <v>1.6</v>
      </c>
      <c r="J74" s="12">
        <v>-1.3</v>
      </c>
      <c r="K74" s="12">
        <v>-1.7</v>
      </c>
      <c r="L74" s="12">
        <v>4</v>
      </c>
      <c r="M74" s="12">
        <v>5.25</v>
      </c>
      <c r="N74" s="12">
        <v>5.74</v>
      </c>
      <c r="O74" s="12">
        <v>0.2</v>
      </c>
      <c r="P74" s="13">
        <f t="shared" si="5"/>
        <v>-4.2</v>
      </c>
      <c r="Q74" s="13">
        <f t="shared" si="6"/>
        <v>1.7400000000000002</v>
      </c>
      <c r="R74" s="13">
        <f t="shared" si="9"/>
        <v>143.78776962819805</v>
      </c>
      <c r="S74" s="5">
        <f t="shared" si="7"/>
        <v>2023</v>
      </c>
      <c r="T74" s="5" t="str">
        <f t="shared" si="8"/>
        <v>Q4</v>
      </c>
    </row>
    <row r="75" spans="1:20" ht="15.75" customHeight="1" x14ac:dyDescent="0.25">
      <c r="A75" s="8" t="s">
        <v>84</v>
      </c>
      <c r="B75" s="9">
        <v>100.4</v>
      </c>
      <c r="C75" s="9">
        <v>100</v>
      </c>
      <c r="D75" s="9">
        <v>99.6</v>
      </c>
      <c r="E75" s="9">
        <v>97</v>
      </c>
      <c r="F75" s="9">
        <v>96.5</v>
      </c>
      <c r="G75" s="9">
        <v>99.8</v>
      </c>
      <c r="H75" s="9">
        <v>2.7</v>
      </c>
      <c r="I75" s="9">
        <v>5.9</v>
      </c>
      <c r="J75" s="9">
        <v>0.7</v>
      </c>
      <c r="K75" s="9">
        <v>-1.2</v>
      </c>
      <c r="L75" s="9">
        <v>4</v>
      </c>
      <c r="M75" s="9">
        <v>5.25</v>
      </c>
      <c r="N75" s="9">
        <v>5.69</v>
      </c>
      <c r="O75" s="9">
        <v>0.2</v>
      </c>
      <c r="P75" s="10">
        <f t="shared" si="5"/>
        <v>-1.2999999999999998</v>
      </c>
      <c r="Q75" s="10">
        <f t="shared" si="6"/>
        <v>1.6900000000000004</v>
      </c>
      <c r="R75" s="10">
        <f t="shared" si="9"/>
        <v>146.2177829349146</v>
      </c>
      <c r="S75" s="4">
        <f t="shared" si="7"/>
        <v>2024</v>
      </c>
      <c r="T75" s="4" t="str">
        <f t="shared" si="8"/>
        <v>Q1</v>
      </c>
    </row>
    <row r="76" spans="1:20" ht="15.75" customHeight="1" x14ac:dyDescent="0.25">
      <c r="A76" s="11" t="s">
        <v>85</v>
      </c>
      <c r="B76" s="12">
        <v>100.4</v>
      </c>
      <c r="C76" s="12">
        <v>99.9</v>
      </c>
      <c r="D76" s="12">
        <v>100.3</v>
      </c>
      <c r="E76" s="12">
        <v>96.4</v>
      </c>
      <c r="F76" s="12">
        <v>96.4</v>
      </c>
      <c r="G76" s="12">
        <v>100.7</v>
      </c>
      <c r="H76" s="12">
        <v>1.6</v>
      </c>
      <c r="I76" s="12">
        <v>3.8</v>
      </c>
      <c r="J76" s="12">
        <v>1.6</v>
      </c>
      <c r="K76" s="12">
        <v>-2.8</v>
      </c>
      <c r="L76" s="12">
        <v>3.4</v>
      </c>
      <c r="M76" s="12">
        <v>5.25</v>
      </c>
      <c r="N76" s="12">
        <v>5.63</v>
      </c>
      <c r="O76" s="12">
        <v>0.3</v>
      </c>
      <c r="P76" s="13">
        <f t="shared" si="5"/>
        <v>-1.7999999999999998</v>
      </c>
      <c r="Q76" s="13">
        <f t="shared" si="6"/>
        <v>2.23</v>
      </c>
      <c r="R76" s="13">
        <f t="shared" si="9"/>
        <v>149.47843949436319</v>
      </c>
      <c r="S76" s="5">
        <f t="shared" si="7"/>
        <v>2024</v>
      </c>
      <c r="T76" s="5" t="str">
        <f t="shared" si="8"/>
        <v>Q1</v>
      </c>
    </row>
    <row r="77" spans="1:20" ht="15.75" customHeight="1" x14ac:dyDescent="0.25">
      <c r="A77" s="8" t="s">
        <v>86</v>
      </c>
      <c r="B77" s="9">
        <v>99.9</v>
      </c>
      <c r="C77" s="9">
        <v>98.7</v>
      </c>
      <c r="D77" s="9">
        <v>100.2</v>
      </c>
      <c r="E77" s="9">
        <v>96.1</v>
      </c>
      <c r="F77" s="9">
        <v>97</v>
      </c>
      <c r="G77" s="9">
        <v>99.6</v>
      </c>
      <c r="H77" s="9">
        <v>2.1</v>
      </c>
      <c r="I77" s="9">
        <v>2.4</v>
      </c>
      <c r="J77" s="9">
        <v>-2.5</v>
      </c>
      <c r="K77" s="9">
        <v>-1.4</v>
      </c>
      <c r="L77" s="9">
        <v>3.2</v>
      </c>
      <c r="M77" s="9">
        <v>5.25</v>
      </c>
      <c r="N77" s="9">
        <v>6.25</v>
      </c>
      <c r="O77" s="9">
        <v>0.4</v>
      </c>
      <c r="P77" s="10">
        <f t="shared" si="5"/>
        <v>-1.1000000000000001</v>
      </c>
      <c r="Q77" s="10">
        <f t="shared" si="6"/>
        <v>3.05</v>
      </c>
      <c r="R77" s="10">
        <f t="shared" si="9"/>
        <v>154.03753189894127</v>
      </c>
      <c r="S77" s="4">
        <f t="shared" si="7"/>
        <v>2024</v>
      </c>
      <c r="T77" s="4" t="str">
        <f t="shared" si="8"/>
        <v>Q1</v>
      </c>
    </row>
    <row r="78" spans="1:20" ht="15.75" customHeight="1" x14ac:dyDescent="0.25">
      <c r="A78" s="11" t="s">
        <v>87</v>
      </c>
      <c r="B78" s="12">
        <v>98.7</v>
      </c>
      <c r="C78" s="12">
        <v>97.9</v>
      </c>
      <c r="D78" s="12">
        <v>98.2</v>
      </c>
      <c r="E78" s="12">
        <v>93.3</v>
      </c>
      <c r="F78" s="12">
        <v>94.5</v>
      </c>
      <c r="G78" s="12">
        <v>100.1</v>
      </c>
      <c r="H78" s="12">
        <v>-1</v>
      </c>
      <c r="I78" s="12">
        <v>-0.1</v>
      </c>
      <c r="J78" s="12">
        <v>-4.9000000000000004</v>
      </c>
      <c r="K78" s="12">
        <v>-6.8</v>
      </c>
      <c r="L78" s="12">
        <v>2.2999999999999998</v>
      </c>
      <c r="M78" s="12">
        <v>5.25</v>
      </c>
      <c r="N78" s="12">
        <v>5.55</v>
      </c>
      <c r="O78" s="12">
        <v>0.6</v>
      </c>
      <c r="P78" s="13">
        <f t="shared" si="5"/>
        <v>-3.3</v>
      </c>
      <c r="Q78" s="13">
        <f t="shared" si="6"/>
        <v>3.25</v>
      </c>
      <c r="R78" s="13">
        <f t="shared" si="9"/>
        <v>159.04375168565684</v>
      </c>
      <c r="S78" s="5">
        <f t="shared" si="7"/>
        <v>2024</v>
      </c>
      <c r="T78" s="5" t="str">
        <f t="shared" si="8"/>
        <v>Q2</v>
      </c>
    </row>
    <row r="79" spans="1:20" ht="15.75" customHeight="1" x14ac:dyDescent="0.25">
      <c r="A79" s="8" t="s">
        <v>88</v>
      </c>
      <c r="B79" s="9">
        <v>101.4</v>
      </c>
      <c r="C79" s="9">
        <v>98.9</v>
      </c>
      <c r="D79" s="9">
        <v>101.9</v>
      </c>
      <c r="E79" s="9">
        <v>98.3</v>
      </c>
      <c r="F79" s="9">
        <v>99.2</v>
      </c>
      <c r="G79" s="9">
        <v>107</v>
      </c>
      <c r="H79" s="9">
        <v>2.2000000000000002</v>
      </c>
      <c r="I79" s="9">
        <v>0.7</v>
      </c>
      <c r="J79" s="9">
        <v>-2.7</v>
      </c>
      <c r="K79" s="9">
        <v>-0.7</v>
      </c>
      <c r="L79" s="9">
        <v>2</v>
      </c>
      <c r="M79" s="9">
        <v>5.25</v>
      </c>
      <c r="N79" s="9">
        <v>5.46</v>
      </c>
      <c r="O79" s="9">
        <v>1.2</v>
      </c>
      <c r="P79" s="10">
        <f t="shared" si="5"/>
        <v>0.20000000000000018</v>
      </c>
      <c r="Q79" s="10">
        <f t="shared" si="6"/>
        <v>3.46</v>
      </c>
      <c r="R79" s="10">
        <f t="shared" si="9"/>
        <v>164.54666549398056</v>
      </c>
      <c r="S79" s="4">
        <f t="shared" si="7"/>
        <v>2024</v>
      </c>
      <c r="T79" s="4" t="str">
        <f t="shared" si="8"/>
        <v>Q2</v>
      </c>
    </row>
    <row r="80" spans="1:20" ht="15.75" customHeight="1" x14ac:dyDescent="0.25">
      <c r="A80" s="11" t="s">
        <v>89</v>
      </c>
      <c r="B80" s="12">
        <v>99.7</v>
      </c>
      <c r="C80" s="12">
        <v>97.4</v>
      </c>
      <c r="D80" s="12">
        <v>99.6</v>
      </c>
      <c r="E80" s="12">
        <v>96.7</v>
      </c>
      <c r="F80" s="12">
        <v>95.7</v>
      </c>
      <c r="G80" s="12">
        <v>104.5</v>
      </c>
      <c r="H80" s="12">
        <v>-0.3</v>
      </c>
      <c r="I80" s="12">
        <v>-1.6</v>
      </c>
      <c r="J80" s="12">
        <v>-8.6</v>
      </c>
      <c r="K80" s="12">
        <v>-4.8</v>
      </c>
      <c r="L80" s="12">
        <v>2</v>
      </c>
      <c r="M80" s="12">
        <v>5.25</v>
      </c>
      <c r="N80" s="12">
        <v>3.28</v>
      </c>
      <c r="O80" s="12">
        <v>0.4</v>
      </c>
      <c r="P80" s="13">
        <f t="shared" si="5"/>
        <v>-2.2999999999999998</v>
      </c>
      <c r="Q80" s="13">
        <f t="shared" si="6"/>
        <v>1.2799999999999998</v>
      </c>
      <c r="R80" s="13">
        <f t="shared" si="9"/>
        <v>166.65286281230348</v>
      </c>
      <c r="S80" s="5">
        <f t="shared" si="7"/>
        <v>2024</v>
      </c>
      <c r="T80" s="5" t="str">
        <f t="shared" si="8"/>
        <v>Q2</v>
      </c>
    </row>
    <row r="81" spans="1:20" ht="15.75" customHeight="1" x14ac:dyDescent="0.25">
      <c r="A81" s="8" t="s">
        <v>90</v>
      </c>
      <c r="B81" s="9">
        <v>100.5</v>
      </c>
      <c r="C81" s="9">
        <v>98.3</v>
      </c>
      <c r="D81" s="9">
        <v>100.7</v>
      </c>
      <c r="E81" s="9">
        <v>96.2</v>
      </c>
      <c r="F81" s="9">
        <v>94.8</v>
      </c>
      <c r="G81" s="9">
        <v>105</v>
      </c>
      <c r="H81" s="9">
        <v>1.6</v>
      </c>
      <c r="I81" s="9">
        <v>1.3</v>
      </c>
      <c r="J81" s="9">
        <v>0.3</v>
      </c>
      <c r="K81" s="9">
        <v>-2</v>
      </c>
      <c r="L81" s="9">
        <v>2.2000000000000002</v>
      </c>
      <c r="M81" s="9">
        <v>5.25</v>
      </c>
      <c r="N81" s="9">
        <v>4.3499999999999996</v>
      </c>
      <c r="O81" s="9">
        <v>0.7</v>
      </c>
      <c r="P81" s="10">
        <f t="shared" si="5"/>
        <v>-0.60000000000000009</v>
      </c>
      <c r="Q81" s="10">
        <f t="shared" si="6"/>
        <v>2.1499999999999995</v>
      </c>
      <c r="R81" s="10">
        <f t="shared" si="9"/>
        <v>170.23589936276801</v>
      </c>
      <c r="S81" s="4">
        <f t="shared" si="7"/>
        <v>2024</v>
      </c>
      <c r="T81" s="4" t="str">
        <f t="shared" si="8"/>
        <v>Q3</v>
      </c>
    </row>
    <row r="82" spans="1:20" ht="15.75" customHeight="1" x14ac:dyDescent="0.25">
      <c r="A82" s="11" t="s">
        <v>91</v>
      </c>
      <c r="B82" s="12">
        <v>100.8</v>
      </c>
      <c r="C82" s="12">
        <v>99.4</v>
      </c>
      <c r="D82" s="12">
        <v>101</v>
      </c>
      <c r="E82" s="12">
        <v>97.8</v>
      </c>
      <c r="F82" s="12">
        <v>96.7</v>
      </c>
      <c r="G82" s="12">
        <v>102.5</v>
      </c>
      <c r="H82" s="12">
        <v>1.1000000000000001</v>
      </c>
      <c r="I82" s="12">
        <v>1.2</v>
      </c>
      <c r="J82" s="12">
        <v>0.4</v>
      </c>
      <c r="K82" s="12">
        <v>0.5</v>
      </c>
      <c r="L82" s="12">
        <v>2.2000000000000002</v>
      </c>
      <c r="M82" s="12">
        <v>5</v>
      </c>
      <c r="N82" s="12">
        <v>4.82</v>
      </c>
      <c r="O82" s="12">
        <v>1.1000000000000001</v>
      </c>
      <c r="P82" s="13">
        <f t="shared" si="5"/>
        <v>-1.1000000000000001</v>
      </c>
      <c r="Q82" s="13">
        <f t="shared" si="6"/>
        <v>2.62</v>
      </c>
      <c r="R82" s="13">
        <f t="shared" si="9"/>
        <v>174.69607992607254</v>
      </c>
      <c r="S82" s="5">
        <f t="shared" si="7"/>
        <v>2024</v>
      </c>
      <c r="T82" s="5" t="str">
        <f t="shared" si="8"/>
        <v>Q3</v>
      </c>
    </row>
    <row r="83" spans="1:20" ht="15.75" customHeight="1" x14ac:dyDescent="0.25">
      <c r="A83" s="8" t="s">
        <v>92</v>
      </c>
      <c r="B83" s="9">
        <v>100.7</v>
      </c>
      <c r="C83" s="9">
        <v>98.3</v>
      </c>
      <c r="D83" s="9">
        <v>102.1</v>
      </c>
      <c r="E83" s="9">
        <v>97.2</v>
      </c>
      <c r="F83" s="9">
        <v>96.8</v>
      </c>
      <c r="G83" s="9">
        <v>102.7</v>
      </c>
      <c r="H83" s="9">
        <v>1.2</v>
      </c>
      <c r="I83" s="9">
        <v>-0.6</v>
      </c>
      <c r="J83" s="9">
        <v>2.4</v>
      </c>
      <c r="K83" s="9">
        <v>2.8</v>
      </c>
      <c r="L83" s="9">
        <v>1.7</v>
      </c>
      <c r="M83" s="9">
        <v>5</v>
      </c>
      <c r="N83" s="9">
        <v>5.0999999999999996</v>
      </c>
      <c r="O83" s="9">
        <v>1.1000000000000001</v>
      </c>
      <c r="P83" s="10">
        <f t="shared" si="5"/>
        <v>-0.5</v>
      </c>
      <c r="Q83" s="10">
        <f t="shared" si="6"/>
        <v>3.3999999999999995</v>
      </c>
      <c r="R83" s="10">
        <f t="shared" si="9"/>
        <v>180.635746643559</v>
      </c>
      <c r="S83" s="4">
        <f t="shared" si="7"/>
        <v>2024</v>
      </c>
      <c r="T83" s="4" t="str">
        <f t="shared" si="8"/>
        <v>Q3</v>
      </c>
    </row>
    <row r="84" spans="1:20" ht="15.75" customHeight="1" x14ac:dyDescent="0.25">
      <c r="A84" s="11" t="s">
        <v>93</v>
      </c>
      <c r="B84" s="12">
        <v>100.1</v>
      </c>
      <c r="C84" s="12">
        <v>97.5</v>
      </c>
      <c r="D84" s="12">
        <v>101.1</v>
      </c>
      <c r="E84" s="12">
        <v>95.5</v>
      </c>
      <c r="F84" s="12">
        <v>96.5</v>
      </c>
      <c r="G84" s="12">
        <v>102.2</v>
      </c>
      <c r="H84" s="12">
        <v>-0.3</v>
      </c>
      <c r="I84" s="12">
        <v>-1.7</v>
      </c>
      <c r="J84" s="12">
        <v>1.5</v>
      </c>
      <c r="K84" s="12">
        <v>-2.2000000000000002</v>
      </c>
      <c r="L84" s="12">
        <v>2.2999999999999998</v>
      </c>
      <c r="M84" s="12">
        <v>5</v>
      </c>
      <c r="N84" s="12">
        <v>6.05</v>
      </c>
      <c r="O84" s="12">
        <v>1.6</v>
      </c>
      <c r="P84" s="13">
        <f t="shared" si="5"/>
        <v>-2.5999999999999996</v>
      </c>
      <c r="Q84" s="13">
        <f t="shared" si="6"/>
        <v>3.75</v>
      </c>
      <c r="R84" s="13">
        <f t="shared" si="9"/>
        <v>187.40958714269249</v>
      </c>
      <c r="S84" s="5">
        <f t="shared" si="7"/>
        <v>2024</v>
      </c>
      <c r="T84" s="5" t="str">
        <f t="shared" si="8"/>
        <v>Q4</v>
      </c>
    </row>
    <row r="85" spans="1:20" ht="15.75" customHeight="1" x14ac:dyDescent="0.25">
      <c r="A85" s="8" t="s">
        <v>94</v>
      </c>
      <c r="B85" s="9">
        <v>100.1</v>
      </c>
      <c r="C85" s="9">
        <v>97.9</v>
      </c>
      <c r="D85" s="9">
        <v>101</v>
      </c>
      <c r="E85" s="9">
        <v>91.4</v>
      </c>
      <c r="F85" s="9">
        <v>96.6</v>
      </c>
      <c r="G85" s="9">
        <v>102.5</v>
      </c>
      <c r="H85" s="9">
        <v>-1.1000000000000001</v>
      </c>
      <c r="I85" s="9">
        <v>-1.3</v>
      </c>
      <c r="J85" s="9">
        <v>0.2</v>
      </c>
      <c r="K85" s="9">
        <v>-7.2</v>
      </c>
      <c r="L85" s="9">
        <v>2.6</v>
      </c>
      <c r="M85" s="9">
        <v>5</v>
      </c>
      <c r="N85" s="9">
        <v>5.56</v>
      </c>
      <c r="O85" s="9">
        <v>1.4</v>
      </c>
      <c r="P85" s="10">
        <f t="shared" si="5"/>
        <v>-3.7</v>
      </c>
      <c r="Q85" s="10">
        <f t="shared" si="6"/>
        <v>2.9599999999999995</v>
      </c>
      <c r="R85" s="10">
        <f t="shared" si="9"/>
        <v>192.95691092211621</v>
      </c>
      <c r="S85" s="4">
        <f t="shared" si="7"/>
        <v>2024</v>
      </c>
      <c r="T85" s="4" t="str">
        <f t="shared" si="8"/>
        <v>Q4</v>
      </c>
    </row>
    <row r="86" spans="1:20" ht="15.75" customHeight="1" x14ac:dyDescent="0.25">
      <c r="A86" s="11" t="s">
        <v>95</v>
      </c>
      <c r="B86" s="12">
        <v>100.1</v>
      </c>
      <c r="C86" s="12">
        <v>97.8</v>
      </c>
      <c r="D86" s="12">
        <v>102.2</v>
      </c>
      <c r="E86" s="12">
        <v>95.5</v>
      </c>
      <c r="F86" s="12">
        <v>97.6</v>
      </c>
      <c r="G86" s="12">
        <v>99.9</v>
      </c>
      <c r="H86" s="12">
        <v>3.4</v>
      </c>
      <c r="I86" s="12">
        <v>4.5</v>
      </c>
      <c r="J86" s="12">
        <v>5.7</v>
      </c>
      <c r="K86" s="12">
        <v>-0.3</v>
      </c>
      <c r="L86" s="12">
        <v>2.5</v>
      </c>
      <c r="M86" s="12">
        <v>4.75</v>
      </c>
      <c r="N86" s="12">
        <v>6.23</v>
      </c>
      <c r="O86" s="12">
        <v>2.1</v>
      </c>
      <c r="P86" s="13">
        <f t="shared" si="5"/>
        <v>0.89999999999999991</v>
      </c>
      <c r="Q86" s="13">
        <f t="shared" si="6"/>
        <v>3.7300000000000004</v>
      </c>
      <c r="R86" s="13">
        <f t="shared" si="9"/>
        <v>200.15420369951116</v>
      </c>
      <c r="S86" s="5">
        <f t="shared" si="7"/>
        <v>2024</v>
      </c>
      <c r="T86" s="5" t="str">
        <f t="shared" si="8"/>
        <v>Q4</v>
      </c>
    </row>
    <row r="87" spans="1:20" ht="15.75" customHeight="1" x14ac:dyDescent="0.25">
      <c r="A87" s="8" t="s">
        <v>96</v>
      </c>
      <c r="B87" s="9">
        <v>99</v>
      </c>
      <c r="C87" s="9">
        <v>99</v>
      </c>
      <c r="D87" s="9">
        <v>99.3</v>
      </c>
      <c r="E87" s="9">
        <v>93.4</v>
      </c>
      <c r="F87" s="9">
        <v>96.3</v>
      </c>
      <c r="G87" s="9">
        <v>95.2</v>
      </c>
      <c r="H87" s="9">
        <v>-0.1</v>
      </c>
      <c r="I87" s="9">
        <v>1.8</v>
      </c>
      <c r="J87" s="9">
        <v>4.4000000000000004</v>
      </c>
      <c r="K87" s="9">
        <v>-2.4</v>
      </c>
      <c r="L87" s="9">
        <v>3</v>
      </c>
      <c r="M87" s="9">
        <v>4.75</v>
      </c>
      <c r="N87" s="9">
        <v>5.13</v>
      </c>
      <c r="O87" s="9">
        <v>1.6</v>
      </c>
      <c r="P87" s="10">
        <f t="shared" si="5"/>
        <v>-3.1</v>
      </c>
      <c r="Q87" s="10">
        <f t="shared" si="6"/>
        <v>2.13</v>
      </c>
      <c r="R87" s="10">
        <f t="shared" si="9"/>
        <v>204.41748823831077</v>
      </c>
      <c r="S87" s="4">
        <f t="shared" si="7"/>
        <v>2025</v>
      </c>
      <c r="T87" s="4" t="str">
        <f t="shared" si="8"/>
        <v>Q1</v>
      </c>
    </row>
    <row r="88" spans="1:20" ht="15.75" customHeight="1" x14ac:dyDescent="0.25">
      <c r="A88" s="11" t="s">
        <v>97</v>
      </c>
      <c r="B88" s="12">
        <v>101.1</v>
      </c>
      <c r="C88" s="12">
        <v>98.2</v>
      </c>
      <c r="D88" s="12">
        <v>103.4</v>
      </c>
      <c r="E88" s="12">
        <v>97.4</v>
      </c>
      <c r="F88" s="12">
        <v>103.2</v>
      </c>
      <c r="G88" s="12">
        <v>101.2</v>
      </c>
      <c r="H88" s="12">
        <v>1.7</v>
      </c>
      <c r="I88" s="12">
        <v>1.4</v>
      </c>
      <c r="J88" s="12">
        <v>2</v>
      </c>
      <c r="K88" s="12">
        <v>0.8</v>
      </c>
      <c r="L88" s="12">
        <v>2.8</v>
      </c>
      <c r="M88" s="12">
        <v>4.75</v>
      </c>
      <c r="N88" s="12">
        <v>5.69</v>
      </c>
      <c r="O88" s="12">
        <v>1.8</v>
      </c>
      <c r="P88" s="13">
        <f t="shared" si="5"/>
        <v>-1.0999999999999999</v>
      </c>
      <c r="Q88" s="13">
        <f t="shared" si="6"/>
        <v>2.8900000000000006</v>
      </c>
      <c r="R88" s="13">
        <f t="shared" si="9"/>
        <v>210.32515364839793</v>
      </c>
      <c r="S88" s="5">
        <f t="shared" si="7"/>
        <v>2025</v>
      </c>
      <c r="T88" s="5" t="str">
        <f t="shared" si="8"/>
        <v>Q1</v>
      </c>
    </row>
    <row r="89" spans="1:20" ht="15.75" customHeight="1" x14ac:dyDescent="0.25">
      <c r="A89" s="8" t="s">
        <v>98</v>
      </c>
      <c r="B89" s="9">
        <v>101.9</v>
      </c>
      <c r="C89" s="9">
        <v>99.1</v>
      </c>
      <c r="D89" s="9">
        <v>104.2</v>
      </c>
      <c r="E89" s="9">
        <v>98.5</v>
      </c>
      <c r="F89" s="9">
        <v>100</v>
      </c>
      <c r="G89" s="9">
        <v>103.8</v>
      </c>
      <c r="H89" s="9">
        <v>2.6</v>
      </c>
      <c r="I89" s="9">
        <v>3.2</v>
      </c>
      <c r="J89" s="9">
        <v>6.2</v>
      </c>
      <c r="K89" s="9">
        <v>3.5</v>
      </c>
      <c r="L89" s="9">
        <v>2.6</v>
      </c>
      <c r="M89" s="9">
        <v>4.5</v>
      </c>
      <c r="N89" s="9">
        <v>5.49</v>
      </c>
      <c r="O89" s="9">
        <v>1.6</v>
      </c>
      <c r="P89" s="10">
        <f t="shared" si="5"/>
        <v>0</v>
      </c>
      <c r="Q89" s="10">
        <f t="shared" si="6"/>
        <v>2.89</v>
      </c>
      <c r="R89" s="10">
        <f t="shared" si="9"/>
        <v>216.40355058883662</v>
      </c>
      <c r="S89" s="4">
        <f t="shared" si="7"/>
        <v>2025</v>
      </c>
      <c r="T89" s="4" t="str">
        <f t="shared" si="8"/>
        <v>Q1</v>
      </c>
    </row>
    <row r="90" spans="1:20" ht="15.75" customHeight="1" x14ac:dyDescent="0.25">
      <c r="A90" s="11" t="s">
        <v>99</v>
      </c>
      <c r="B90" s="12">
        <v>102</v>
      </c>
      <c r="C90" s="12">
        <v>99.3</v>
      </c>
      <c r="D90" s="12">
        <v>103.1</v>
      </c>
      <c r="E90" s="12">
        <v>98.3</v>
      </c>
      <c r="F90" s="12">
        <v>100</v>
      </c>
      <c r="G90" s="12">
        <v>106.5</v>
      </c>
      <c r="H90" s="12">
        <v>3.4</v>
      </c>
      <c r="I90" s="12">
        <v>4.5999999999999996</v>
      </c>
      <c r="J90" s="12">
        <v>8.1999999999999993</v>
      </c>
      <c r="K90" s="12">
        <v>5.3</v>
      </c>
      <c r="L90" s="12">
        <v>3.5</v>
      </c>
      <c r="M90" s="12">
        <v>4.5</v>
      </c>
      <c r="N90" s="12">
        <v>4.59</v>
      </c>
      <c r="O90" s="12">
        <v>1.3</v>
      </c>
      <c r="P90" s="13">
        <f t="shared" si="5"/>
        <v>-0.10000000000000009</v>
      </c>
      <c r="Q90" s="13">
        <f t="shared" si="6"/>
        <v>1.0899999999999999</v>
      </c>
      <c r="R90" s="13">
        <f t="shared" si="9"/>
        <v>218.76234929025492</v>
      </c>
      <c r="S90" s="5">
        <f t="shared" si="7"/>
        <v>2025</v>
      </c>
      <c r="T90" s="5" t="str">
        <f t="shared" si="8"/>
        <v>Q2</v>
      </c>
    </row>
    <row r="91" spans="1:20" ht="15.75" customHeight="1" x14ac:dyDescent="0.25">
      <c r="A91" s="8" t="s">
        <v>100</v>
      </c>
      <c r="B91" s="9">
        <v>100.6</v>
      </c>
      <c r="C91" s="9">
        <v>97.7</v>
      </c>
      <c r="D91" s="9">
        <v>101</v>
      </c>
      <c r="E91" s="9">
        <v>94</v>
      </c>
      <c r="F91" s="9">
        <v>97.5</v>
      </c>
      <c r="G91" s="9">
        <v>106.4</v>
      </c>
      <c r="H91" s="9">
        <v>-0.6</v>
      </c>
      <c r="I91" s="9">
        <v>2.1</v>
      </c>
      <c r="J91" s="9">
        <v>2.9</v>
      </c>
      <c r="K91" s="9">
        <v>-4.3</v>
      </c>
      <c r="L91" s="9">
        <v>3.4</v>
      </c>
      <c r="M91" s="9">
        <v>4.5</v>
      </c>
      <c r="N91" s="9">
        <v>4.58</v>
      </c>
      <c r="O91" s="9">
        <v>0.9</v>
      </c>
      <c r="P91" s="10">
        <f t="shared" si="5"/>
        <v>-4</v>
      </c>
      <c r="Q91" s="10">
        <f t="shared" si="6"/>
        <v>1.1800000000000002</v>
      </c>
      <c r="R91" s="10">
        <f t="shared" si="9"/>
        <v>221.34374501187995</v>
      </c>
      <c r="S91" s="4">
        <f t="shared" si="7"/>
        <v>2025</v>
      </c>
      <c r="T91" s="4" t="str">
        <f t="shared" si="8"/>
        <v>Q2</v>
      </c>
    </row>
    <row r="92" spans="1:20" ht="15.75" customHeight="1" x14ac:dyDescent="0.25">
      <c r="A92" s="11" t="s">
        <v>101</v>
      </c>
      <c r="B92" s="12">
        <v>100.9</v>
      </c>
      <c r="C92" s="12">
        <v>98.6</v>
      </c>
      <c r="D92" s="12">
        <v>101.5</v>
      </c>
      <c r="E92" s="12">
        <v>96.1</v>
      </c>
      <c r="F92" s="12">
        <v>98.5</v>
      </c>
      <c r="G92" s="12">
        <v>106.7</v>
      </c>
      <c r="H92" s="12">
        <v>2</v>
      </c>
      <c r="I92" s="12">
        <v>4.8</v>
      </c>
      <c r="J92" s="12">
        <v>9</v>
      </c>
      <c r="K92" s="12">
        <v>0.3</v>
      </c>
      <c r="L92" s="12">
        <v>3.6</v>
      </c>
      <c r="M92" s="12">
        <v>4.25</v>
      </c>
      <c r="N92" s="12">
        <v>4.79</v>
      </c>
      <c r="O92" s="12">
        <v>1.5</v>
      </c>
      <c r="P92" s="13">
        <f t="shared" si="5"/>
        <v>-1.6</v>
      </c>
      <c r="Q92" s="13">
        <f t="shared" si="6"/>
        <v>1.19</v>
      </c>
      <c r="R92" s="13">
        <f t="shared" si="9"/>
        <v>223.97773557752132</v>
      </c>
      <c r="S92" s="5">
        <f t="shared" si="7"/>
        <v>2025</v>
      </c>
      <c r="T92" s="5" t="str">
        <f t="shared" si="8"/>
        <v>Q2</v>
      </c>
    </row>
    <row r="93" spans="1:20" ht="15.75" customHeight="1" x14ac:dyDescent="0.25">
      <c r="A93" s="8" t="s">
        <v>102</v>
      </c>
      <c r="B93" s="9">
        <v>102.3</v>
      </c>
      <c r="C93" s="9">
        <v>100.9</v>
      </c>
      <c r="D93" s="9">
        <v>102</v>
      </c>
      <c r="E93" s="9">
        <v>99.2</v>
      </c>
      <c r="F93" s="9">
        <v>99.1</v>
      </c>
      <c r="G93" s="9">
        <v>108.6</v>
      </c>
      <c r="H93" s="9">
        <v>2.8</v>
      </c>
      <c r="I93" s="9">
        <v>6.1</v>
      </c>
      <c r="J93" s="9">
        <v>0.3</v>
      </c>
      <c r="K93" s="9">
        <v>3.7</v>
      </c>
      <c r="L93" s="9">
        <v>3.8</v>
      </c>
      <c r="M93" s="9">
        <v>4.25</v>
      </c>
      <c r="N93" s="9">
        <v>5.0199999999999996</v>
      </c>
      <c r="O93" s="9">
        <v>1.6</v>
      </c>
      <c r="P93" s="10">
        <f t="shared" si="5"/>
        <v>-1</v>
      </c>
      <c r="Q93" s="10">
        <f t="shared" si="6"/>
        <v>1.2199999999999998</v>
      </c>
      <c r="R93" s="10">
        <f t="shared" si="9"/>
        <v>226.71026395156707</v>
      </c>
      <c r="S93" s="4">
        <f t="shared" si="7"/>
        <v>2025</v>
      </c>
      <c r="T93" s="4" t="str">
        <f t="shared" si="8"/>
        <v>Q3</v>
      </c>
    </row>
    <row r="94" spans="1:20" ht="15.75" customHeight="1" x14ac:dyDescent="0.25">
      <c r="A94" s="11" t="s">
        <v>103</v>
      </c>
      <c r="B94" s="12">
        <v>101.7</v>
      </c>
      <c r="C94" s="12">
        <v>99.3</v>
      </c>
      <c r="D94" s="12">
        <v>103.1</v>
      </c>
      <c r="E94" s="12">
        <v>99.4</v>
      </c>
      <c r="F94" s="12">
        <v>99.4</v>
      </c>
      <c r="G94" s="12">
        <v>110.1</v>
      </c>
      <c r="H94" s="12">
        <v>2.2999999999999998</v>
      </c>
      <c r="I94" s="12">
        <v>3.5</v>
      </c>
      <c r="J94" s="12">
        <v>4.5</v>
      </c>
      <c r="K94" s="12">
        <v>2.4</v>
      </c>
      <c r="L94" s="12">
        <v>3.8</v>
      </c>
      <c r="M94" s="12">
        <v>4.25</v>
      </c>
      <c r="N94" s="12">
        <v>5.27</v>
      </c>
      <c r="O94" s="12">
        <v>1</v>
      </c>
      <c r="P94" s="13">
        <f t="shared" si="5"/>
        <v>-1.5</v>
      </c>
      <c r="Q94" s="13">
        <f t="shared" si="6"/>
        <v>1.4699999999999998</v>
      </c>
      <c r="R94" s="13">
        <f t="shared" si="9"/>
        <v>230.04290483165508</v>
      </c>
      <c r="S94" s="5">
        <f t="shared" si="7"/>
        <v>2025</v>
      </c>
      <c r="T94" s="5" t="str">
        <f t="shared" si="8"/>
        <v>Q3</v>
      </c>
    </row>
    <row r="95" spans="1:20" ht="15.75" customHeight="1" x14ac:dyDescent="0.25">
      <c r="A95" s="8" t="s">
        <v>104</v>
      </c>
      <c r="B95" s="9">
        <v>102.8</v>
      </c>
      <c r="C95" s="9">
        <v>99.7</v>
      </c>
      <c r="D95" s="9">
        <v>104.6</v>
      </c>
      <c r="E95" s="9">
        <v>102.9</v>
      </c>
      <c r="F95" s="9">
        <v>99.8</v>
      </c>
      <c r="G95" s="9">
        <v>111.3</v>
      </c>
      <c r="H95" s="9">
        <v>3.7</v>
      </c>
      <c r="I95" s="9">
        <v>5.0999999999999996</v>
      </c>
      <c r="J95" s="9">
        <v>4.2</v>
      </c>
      <c r="K95" s="9">
        <v>6.9</v>
      </c>
      <c r="L95" s="9">
        <v>3.8</v>
      </c>
      <c r="M95" s="9">
        <v>4</v>
      </c>
      <c r="N95" s="9">
        <v>4.33</v>
      </c>
      <c r="O95" s="9">
        <v>1.1000000000000001</v>
      </c>
      <c r="P95" s="10">
        <f t="shared" si="5"/>
        <v>-9.9999999999999645E-2</v>
      </c>
      <c r="Q95" s="10">
        <f t="shared" si="6"/>
        <v>0.53000000000000025</v>
      </c>
      <c r="R95" s="10">
        <f t="shared" si="9"/>
        <v>231.26213222726287</v>
      </c>
      <c r="S95" s="4">
        <f t="shared" si="7"/>
        <v>2025</v>
      </c>
      <c r="T95" s="4" t="str">
        <f t="shared" si="8"/>
        <v>Q3</v>
      </c>
    </row>
    <row r="96" spans="1:20" ht="15.75" customHeight="1" x14ac:dyDescent="0.25">
      <c r="A96" s="11" t="s">
        <v>105</v>
      </c>
      <c r="B96" s="12">
        <v>102.1</v>
      </c>
      <c r="C96" s="12">
        <v>99.1</v>
      </c>
      <c r="D96" s="12">
        <v>104.6</v>
      </c>
      <c r="E96" s="12">
        <v>100.4</v>
      </c>
      <c r="F96" s="12">
        <v>102.4</v>
      </c>
      <c r="G96" s="12">
        <v>108.9</v>
      </c>
      <c r="H96" s="12">
        <v>4</v>
      </c>
      <c r="I96" s="12">
        <v>5.5</v>
      </c>
      <c r="J96" s="12">
        <v>1.8</v>
      </c>
      <c r="K96" s="12">
        <v>6.1</v>
      </c>
      <c r="L96" s="12">
        <v>3.6</v>
      </c>
      <c r="M96" s="12">
        <v>4</v>
      </c>
      <c r="N96" s="12">
        <v>4.8600000000000003</v>
      </c>
      <c r="O96" s="12">
        <v>1</v>
      </c>
      <c r="P96" s="13">
        <f t="shared" si="5"/>
        <v>0.39999999999999991</v>
      </c>
      <c r="Q96" s="13">
        <f t="shared" si="6"/>
        <v>1.2600000000000002</v>
      </c>
      <c r="R96" s="13">
        <f t="shared" si="9"/>
        <v>234.17603509332636</v>
      </c>
      <c r="S96" s="5">
        <f t="shared" si="7"/>
        <v>2025</v>
      </c>
      <c r="T96" s="5" t="str">
        <f t="shared" si="8"/>
        <v>Q4</v>
      </c>
    </row>
    <row r="97" spans="1:20" ht="15.75" customHeight="1" x14ac:dyDescent="0.25">
      <c r="A97" s="8" t="s">
        <v>106</v>
      </c>
      <c r="B97" s="9">
        <v>101.7</v>
      </c>
      <c r="C97" s="9">
        <v>98.8</v>
      </c>
      <c r="D97" s="9">
        <v>104.8</v>
      </c>
      <c r="E97" s="9">
        <v>101.9</v>
      </c>
      <c r="F97" s="9">
        <v>103.2</v>
      </c>
      <c r="G97" s="9">
        <v>104.9</v>
      </c>
      <c r="H97" s="9">
        <v>3.4</v>
      </c>
      <c r="I97" s="9">
        <v>4.7</v>
      </c>
      <c r="J97" s="9">
        <v>4.2</v>
      </c>
      <c r="K97" s="9">
        <v>11.6</v>
      </c>
      <c r="L97" s="9">
        <v>3.2</v>
      </c>
      <c r="M97" s="9">
        <v>4</v>
      </c>
      <c r="N97" s="9">
        <v>4.5999999999999996</v>
      </c>
      <c r="O97" s="9">
        <v>1.1000000000000001</v>
      </c>
      <c r="P97" s="10">
        <f t="shared" si="5"/>
        <v>0.19999999999999973</v>
      </c>
      <c r="Q97" s="10">
        <f t="shared" si="6"/>
        <v>1.3999999999999995</v>
      </c>
      <c r="R97" s="10">
        <f t="shared" si="9"/>
        <v>237.45449958463294</v>
      </c>
      <c r="S97" s="4">
        <f t="shared" si="7"/>
        <v>2025</v>
      </c>
      <c r="T97" s="4" t="str">
        <f t="shared" si="8"/>
        <v>Q4</v>
      </c>
    </row>
    <row r="98" spans="1:20" ht="15.75" customHeight="1" x14ac:dyDescent="0.25">
      <c r="A98" s="11" t="s">
        <v>107</v>
      </c>
      <c r="B98" s="12">
        <v>101.7</v>
      </c>
      <c r="C98" s="12">
        <v>98.7</v>
      </c>
      <c r="D98" s="12">
        <v>103.3</v>
      </c>
      <c r="E98" s="12">
        <v>99.8</v>
      </c>
      <c r="F98" s="12">
        <v>99.4</v>
      </c>
      <c r="G98" s="12">
        <v>109.9</v>
      </c>
      <c r="H98" s="12">
        <v>3.3</v>
      </c>
      <c r="I98" s="12">
        <v>4.5999999999999996</v>
      </c>
      <c r="J98" s="12">
        <v>1</v>
      </c>
      <c r="K98" s="12">
        <v>5.4</v>
      </c>
      <c r="L98" s="12">
        <v>3.4</v>
      </c>
      <c r="M98" s="12">
        <v>4</v>
      </c>
      <c r="N98" s="12">
        <v>3.07</v>
      </c>
      <c r="O98" s="12">
        <v>0.9</v>
      </c>
      <c r="P98" s="13">
        <f t="shared" si="5"/>
        <v>-0.10000000000000009</v>
      </c>
      <c r="Q98" s="13">
        <f t="shared" si="6"/>
        <v>-0.33000000000000007</v>
      </c>
      <c r="R98" s="13">
        <f t="shared" si="9"/>
        <v>236.67089973600366</v>
      </c>
      <c r="S98" s="5">
        <f t="shared" si="7"/>
        <v>2025</v>
      </c>
      <c r="T98" s="5" t="str">
        <f t="shared" si="8"/>
        <v>Q4</v>
      </c>
    </row>
    <row r="99" spans="1:20" ht="15.75" customHeight="1" x14ac:dyDescent="0.25">
      <c r="A99" s="8" t="s">
        <v>108</v>
      </c>
      <c r="B99" s="9">
        <v>103.6</v>
      </c>
      <c r="C99" s="9">
        <v>99.7</v>
      </c>
      <c r="D99" s="9">
        <v>106.3</v>
      </c>
      <c r="E99" s="9">
        <v>101.1</v>
      </c>
      <c r="F99" s="9">
        <v>103.4</v>
      </c>
      <c r="G99" s="9">
        <v>111.9</v>
      </c>
      <c r="H99" s="9">
        <v>5.5</v>
      </c>
      <c r="I99" s="9">
        <v>3.7</v>
      </c>
      <c r="J99" s="9">
        <v>0.4</v>
      </c>
      <c r="K99" s="9">
        <v>8.6999999999999993</v>
      </c>
      <c r="L99" s="9">
        <v>3</v>
      </c>
      <c r="M99" s="9">
        <v>3.75</v>
      </c>
      <c r="N99" s="9">
        <v>4.6500000000000004</v>
      </c>
      <c r="O99" s="9">
        <v>0.9</v>
      </c>
      <c r="P99" s="10">
        <f t="shared" si="5"/>
        <v>2.5</v>
      </c>
      <c r="Q99" s="10">
        <f t="shared" si="6"/>
        <v>1.6500000000000004</v>
      </c>
      <c r="R99" s="10">
        <f t="shared" si="9"/>
        <v>240.57596958164771</v>
      </c>
      <c r="S99" s="4">
        <f t="shared" si="7"/>
        <v>2026</v>
      </c>
      <c r="T99" s="4" t="str">
        <f t="shared" si="8"/>
        <v>Q1</v>
      </c>
    </row>
    <row r="100" spans="1:20" ht="15.75" customHeight="1" x14ac:dyDescent="0.25">
      <c r="A100" s="11" t="s">
        <v>109</v>
      </c>
      <c r="B100" s="12">
        <v>102.7</v>
      </c>
      <c r="C100" s="12">
        <v>99</v>
      </c>
      <c r="D100" s="12">
        <v>105.5</v>
      </c>
      <c r="E100" s="12">
        <v>100.2</v>
      </c>
      <c r="F100" s="12">
        <v>99.7</v>
      </c>
      <c r="G100" s="12">
        <v>110.5</v>
      </c>
      <c r="H100" s="12">
        <v>2.5</v>
      </c>
      <c r="I100" s="12">
        <v>3.5</v>
      </c>
      <c r="J100" s="12">
        <v>1</v>
      </c>
      <c r="K100" s="12">
        <v>4</v>
      </c>
      <c r="L100" s="12">
        <v>3</v>
      </c>
      <c r="M100" s="12">
        <v>3.75</v>
      </c>
      <c r="N100" s="12">
        <v>3.87</v>
      </c>
      <c r="O100" s="12">
        <v>1</v>
      </c>
      <c r="P100" s="13">
        <f t="shared" si="5"/>
        <v>-0.5</v>
      </c>
      <c r="Q100" s="13">
        <f t="shared" si="6"/>
        <v>0.87000000000000011</v>
      </c>
      <c r="R100" s="13">
        <f t="shared" si="9"/>
        <v>242.66898051700804</v>
      </c>
      <c r="S100" s="5">
        <f t="shared" si="7"/>
        <v>2026</v>
      </c>
      <c r="T100" s="5" t="str">
        <f t="shared" si="8"/>
        <v>Q1</v>
      </c>
    </row>
    <row r="101" spans="1:20" ht="15.75" customHeight="1" x14ac:dyDescent="0.25">
      <c r="A101" s="8" t="s">
        <v>110</v>
      </c>
      <c r="B101" s="9">
        <v>103.4</v>
      </c>
      <c r="C101" s="9">
        <v>98.1</v>
      </c>
      <c r="D101" s="9">
        <v>106.2</v>
      </c>
      <c r="E101" s="9">
        <v>100.7</v>
      </c>
      <c r="F101" s="9">
        <v>101.1</v>
      </c>
      <c r="G101" s="9">
        <v>111.7</v>
      </c>
      <c r="H101" s="9">
        <v>4.0999999999999996</v>
      </c>
      <c r="I101" s="9">
        <v>2.7</v>
      </c>
      <c r="J101" s="9">
        <v>3.3</v>
      </c>
      <c r="K101" s="9">
        <v>2.6</v>
      </c>
      <c r="L101" s="9">
        <v>3.3</v>
      </c>
      <c r="M101" s="9">
        <v>3.75</v>
      </c>
      <c r="N101" s="9">
        <v>3.78</v>
      </c>
      <c r="O101" s="9">
        <v>1.2</v>
      </c>
      <c r="P101" s="10">
        <f t="shared" si="5"/>
        <v>0.79999999999999982</v>
      </c>
      <c r="Q101" s="10">
        <f t="shared" si="6"/>
        <v>0.48</v>
      </c>
      <c r="R101" s="10">
        <f t="shared" si="9"/>
        <v>243.83379162348965</v>
      </c>
      <c r="S101" s="4">
        <f t="shared" si="7"/>
        <v>2026</v>
      </c>
      <c r="T101" s="4" t="str">
        <f t="shared" si="8"/>
        <v>Q1</v>
      </c>
    </row>
    <row r="102" spans="1:20" ht="15.75" customHeight="1" x14ac:dyDescent="0.25">
      <c r="A102" s="11" t="s">
        <v>111</v>
      </c>
      <c r="B102" s="12">
        <v>102</v>
      </c>
      <c r="C102" s="12">
        <v>98.9</v>
      </c>
      <c r="D102" s="12">
        <v>105.1</v>
      </c>
      <c r="E102" s="12">
        <v>98.3</v>
      </c>
      <c r="F102" s="12">
        <v>101</v>
      </c>
      <c r="G102" s="12">
        <v>109.5</v>
      </c>
      <c r="H102" s="12">
        <v>4.5</v>
      </c>
      <c r="I102" s="12">
        <v>3</v>
      </c>
      <c r="J102" s="12">
        <v>1.5</v>
      </c>
      <c r="K102" s="12">
        <v>1.6</v>
      </c>
      <c r="L102" s="12">
        <v>2.8</v>
      </c>
      <c r="M102" s="12">
        <v>3.75</v>
      </c>
      <c r="N102" s="12"/>
      <c r="O102" s="12">
        <v>1.2</v>
      </c>
      <c r="P102" s="13">
        <f t="shared" si="5"/>
        <v>1.7000000000000002</v>
      </c>
      <c r="Q102" s="13" t="str">
        <f t="shared" si="6"/>
        <v/>
      </c>
      <c r="R102" s="13">
        <f t="shared" si="9"/>
        <v>243.83379162348965</v>
      </c>
      <c r="S102" s="5">
        <f t="shared" si="7"/>
        <v>2026</v>
      </c>
      <c r="T102" s="5" t="str">
        <f t="shared" si="8"/>
        <v>Q2</v>
      </c>
    </row>
  </sheetData>
  <mergeCells count="1">
    <mergeCell ref="A1:T1"/>
  </mergeCells>
  <pageMargins left="0.75" right="0.75" top="1" bottom="1" header="0.511811023622047" footer="0.511811023622047"/>
  <pageSetup paperSize="9"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E9266-2B9A-4FDD-8520-AAE692210886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Raw_RSI</vt:lpstr>
      <vt:lpstr>Raw_CPI</vt:lpstr>
      <vt:lpstr>Raw_BoE</vt:lpstr>
      <vt:lpstr>Raw_AWE</vt:lpstr>
      <vt:lpstr>Raw_GDP</vt:lpstr>
      <vt:lpstr>Master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 Arshad</dc:creator>
  <cp:lastModifiedBy>Md Arshad</cp:lastModifiedBy>
  <dcterms:created xsi:type="dcterms:W3CDTF">2026-06-17T18:41:20Z</dcterms:created>
  <dcterms:modified xsi:type="dcterms:W3CDTF">2026-06-17T18:42:15Z</dcterms:modified>
</cp:coreProperties>
</file>